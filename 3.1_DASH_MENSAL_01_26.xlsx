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xandy\Documents\GitHub\Dash_Mectrol\"/>
    </mc:Choice>
  </mc:AlternateContent>
  <xr:revisionPtr revIDLastSave="0" documentId="13_ncr:1_{51CD57F6-6F36-4B72-878E-0D3D13858EF6}" xr6:coauthVersionLast="47" xr6:coauthVersionMax="47" xr10:uidLastSave="{00000000-0000-0000-0000-000000000000}"/>
  <bookViews>
    <workbookView xWindow="-120" yWindow="-120" windowWidth="20730" windowHeight="11160" tabRatio="661" activeTab="1" xr2:uid="{00000000-000D-0000-FFFF-FFFF00000000}"/>
  </bookViews>
  <sheets>
    <sheet name="DASH" sheetId="5" r:id="rId1"/>
    <sheet name="Lançamentos" sheetId="1" r:id="rId2"/>
    <sheet name="PRODUTOS DE REFUGO" sheetId="3" r:id="rId3"/>
    <sheet name="CONFIGURAÇÃO " sheetId="2" r:id="rId4"/>
    <sheet name="Observações" sheetId="6" r:id="rId5"/>
    <sheet name="Indicadores Usinagem" sheetId="7" r:id="rId6"/>
  </sheets>
  <definedNames>
    <definedName name="_xlnm._FilterDatabase" localSheetId="1" hidden="1">Lançamentos!$A$3:$AI$305</definedName>
    <definedName name="_xlnm.Print_Area" localSheetId="2">'PRODUTOS DE REFUGO'!$A$2:$AG$19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" i="2" l="1"/>
  <c r="M2" i="2"/>
  <c r="AB299" i="1" l="1"/>
  <c r="AA299" i="1"/>
  <c r="N3" i="2" s="1"/>
  <c r="Y299" i="1"/>
  <c r="M3" i="2" s="1"/>
  <c r="C38" i="7" s="1"/>
  <c r="X299" i="1"/>
  <c r="W299" i="1"/>
  <c r="V299" i="1"/>
  <c r="U299" i="1"/>
  <c r="T299" i="1"/>
  <c r="S299" i="1"/>
  <c r="Q299" i="1"/>
  <c r="J299" i="1"/>
  <c r="I299" i="1"/>
  <c r="H299" i="1"/>
  <c r="G299" i="1"/>
  <c r="C45" i="7" l="1"/>
  <c r="F299" i="1"/>
  <c r="E299" i="1"/>
  <c r="D299" i="1"/>
  <c r="C299" i="1"/>
  <c r="Z299" i="1" l="1"/>
  <c r="R299" i="1"/>
  <c r="N299" i="1" l="1"/>
  <c r="P299" i="1"/>
  <c r="O299" i="1"/>
  <c r="F38" i="7" l="1"/>
  <c r="F35" i="7"/>
  <c r="C11" i="7"/>
  <c r="C5" i="7"/>
  <c r="C13" i="7" l="1"/>
  <c r="F36" i="7"/>
  <c r="I35" i="7" s="1"/>
  <c r="F37" i="7" l="1"/>
  <c r="I37" i="7" s="1"/>
  <c r="D26" i="7"/>
  <c r="C16" i="7"/>
  <c r="D21" i="7"/>
  <c r="A1" i="5"/>
  <c r="D23" i="2"/>
  <c r="C23" i="2"/>
  <c r="B23" i="2"/>
  <c r="D24" i="2"/>
  <c r="C24" i="2"/>
  <c r="B24" i="2"/>
  <c r="L2" i="2"/>
  <c r="K2" i="2"/>
  <c r="J2" i="2"/>
  <c r="I2" i="2"/>
  <c r="H2" i="2"/>
  <c r="G2" i="2"/>
  <c r="F2" i="2"/>
  <c r="E2" i="2"/>
  <c r="D2" i="2"/>
  <c r="C2" i="2"/>
  <c r="P2" i="2" s="1"/>
  <c r="B2" i="2"/>
  <c r="O2" i="2" s="1"/>
  <c r="K3" i="2"/>
  <c r="L3" i="2"/>
  <c r="J3" i="2"/>
  <c r="I3" i="2"/>
  <c r="H3" i="2"/>
  <c r="G3" i="2"/>
  <c r="E3" i="2"/>
  <c r="D3" i="2"/>
  <c r="C3" i="2"/>
  <c r="P3" i="2" s="1"/>
  <c r="B3" i="2"/>
  <c r="C36" i="7" l="1"/>
  <c r="R3" i="2"/>
  <c r="F36" i="2" s="1"/>
  <c r="C33" i="7" s="1"/>
  <c r="C34" i="7" s="1"/>
  <c r="D38" i="7" s="1"/>
  <c r="D23" i="7" s="1"/>
  <c r="C43" i="7"/>
  <c r="Q3" i="2"/>
  <c r="F41" i="2" s="1"/>
  <c r="C40" i="7" s="1"/>
  <c r="C41" i="7" s="1"/>
  <c r="D45" i="7" s="1"/>
  <c r="D28" i="7" s="1"/>
  <c r="O3" i="2"/>
  <c r="F32" i="2" s="1"/>
  <c r="Q23" i="2" s="1"/>
  <c r="F3" i="2"/>
  <c r="G24" i="2"/>
  <c r="Q24" i="2" l="1"/>
  <c r="C21" i="7"/>
  <c r="D36" i="7"/>
  <c r="C23" i="7" s="1"/>
  <c r="D43" i="7"/>
  <c r="C28" i="7" s="1"/>
  <c r="C26" i="7"/>
  <c r="F44" i="2"/>
  <c r="Q26" i="2" s="1"/>
  <c r="C18" i="7" s="1"/>
  <c r="Q25" i="2"/>
</calcChain>
</file>

<file path=xl/sharedStrings.xml><?xml version="1.0" encoding="utf-8"?>
<sst xmlns="http://schemas.openxmlformats.org/spreadsheetml/2006/main" count="1805" uniqueCount="909">
  <si>
    <t>Data</t>
  </si>
  <si>
    <t>Cliente</t>
  </si>
  <si>
    <t>Pedido</t>
  </si>
  <si>
    <t>Aprovado</t>
  </si>
  <si>
    <t>Reprovado</t>
  </si>
  <si>
    <t>Usinagem</t>
  </si>
  <si>
    <t>Inspeção</t>
  </si>
  <si>
    <t>Desenho</t>
  </si>
  <si>
    <t>Programação CNC</t>
  </si>
  <si>
    <t>Comercial</t>
  </si>
  <si>
    <t>PCP</t>
  </si>
  <si>
    <t>Retrabalho</t>
  </si>
  <si>
    <t>Inspetor</t>
  </si>
  <si>
    <t>Inspetor Responsavél</t>
  </si>
  <si>
    <t>Observação</t>
  </si>
  <si>
    <t>Data de entrada</t>
  </si>
  <si>
    <t>Data de saída</t>
  </si>
  <si>
    <t>OP</t>
  </si>
  <si>
    <t>LOGO</t>
  </si>
  <si>
    <t>CONTROLE DE QUALIDADE</t>
  </si>
  <si>
    <t>CONFIGURAÇÃO DA PROGRAMAÇÃO</t>
  </si>
  <si>
    <t>Medida não conforme o projeto</t>
  </si>
  <si>
    <t>Usinagem não conforme o projeto</t>
  </si>
  <si>
    <t>Acabamento Ruim</t>
  </si>
  <si>
    <t>Peça fora de concentricidade</t>
  </si>
  <si>
    <t>CONTROLE DE REFUGOS</t>
  </si>
  <si>
    <t>TOTAL DE PEÇAS PRODUZIDAS NO MÊS</t>
  </si>
  <si>
    <t>Peças produzidas</t>
  </si>
  <si>
    <t>PEÇAS APROVADAS</t>
  </si>
  <si>
    <t>PEÇAS REPROVADAS</t>
  </si>
  <si>
    <t>PERCENTUAIS</t>
  </si>
  <si>
    <t xml:space="preserve">Data </t>
  </si>
  <si>
    <t>Responsavél pela observção</t>
  </si>
  <si>
    <t>Assunto</t>
  </si>
  <si>
    <t>OBS</t>
  </si>
  <si>
    <t>APROVAÇÃO DIRETA</t>
  </si>
  <si>
    <t>RETRABALHO</t>
  </si>
  <si>
    <t>MORTAS</t>
  </si>
  <si>
    <t>APROVAÇÃO DIRETA + RETRABALHO</t>
  </si>
  <si>
    <t>PEÇA APROV. DIR. + RETRAB.</t>
  </si>
  <si>
    <t>PEÇAS MORTAS</t>
  </si>
  <si>
    <t>PEÇAS RETRABALHO</t>
  </si>
  <si>
    <t>PLANILHA PARA ATUALIZAR QUADRO DE INFORMAÇÕES</t>
  </si>
  <si>
    <t>PEÇAS PRODUZIDAS MÊS ATE A PRESENTE DATA</t>
  </si>
  <si>
    <t xml:space="preserve">APROVAÇÃO DIRETA </t>
  </si>
  <si>
    <t>USINAGEM</t>
  </si>
  <si>
    <t>PERCENTUAL %</t>
  </si>
  <si>
    <t xml:space="preserve">PEÇAS RETRABALHADAS </t>
  </si>
  <si>
    <t>OUTROS</t>
  </si>
  <si>
    <t>CALCULO DIVISÃO DE NÃO CONFORMIDADE</t>
  </si>
  <si>
    <t>PEÇA MORTA</t>
  </si>
  <si>
    <t>Produção</t>
  </si>
  <si>
    <t>Maquina</t>
  </si>
  <si>
    <t>Fuso</t>
  </si>
  <si>
    <t>Castanha</t>
  </si>
  <si>
    <t>Guia</t>
  </si>
  <si>
    <t>Bloco</t>
  </si>
  <si>
    <t>QTD. DA OP.</t>
  </si>
  <si>
    <t>QTD. PEÇAS CHEGOU</t>
  </si>
  <si>
    <t>QNT. REPROVADO</t>
  </si>
  <si>
    <t>QNT. RETRABALHADO</t>
  </si>
  <si>
    <t>QNT. USINADO NOVAMENTE</t>
  </si>
  <si>
    <t>APROVADO</t>
  </si>
  <si>
    <t>Peça craterizada</t>
  </si>
  <si>
    <t>Rebarba</t>
  </si>
  <si>
    <t>Desenho Errado</t>
  </si>
  <si>
    <t>DASH!A1</t>
  </si>
  <si>
    <t>Estética (aparência)</t>
  </si>
  <si>
    <t>Gerar op - instrução para corte errado</t>
  </si>
  <si>
    <t>Morta outros</t>
  </si>
  <si>
    <t>Morta usin.</t>
  </si>
  <si>
    <t>RETRABALHO OUTROS DP</t>
  </si>
  <si>
    <t>Faltou usinar a chaveta</t>
  </si>
  <si>
    <t>Codigo</t>
  </si>
  <si>
    <t>Fuso Retificado</t>
  </si>
  <si>
    <t>Fuso Laminado</t>
  </si>
  <si>
    <t>outros morta</t>
  </si>
  <si>
    <t>usin morta</t>
  </si>
  <si>
    <t>retrabalho usin</t>
  </si>
  <si>
    <t>retrabalho outros</t>
  </si>
  <si>
    <t>Fuso Retificado Adaptado</t>
  </si>
  <si>
    <t>Castanha Retificada Adaptada</t>
  </si>
  <si>
    <t>Castanha Laminada Adaptada</t>
  </si>
  <si>
    <t>Fuso Laminado Adaptado</t>
  </si>
  <si>
    <t>ANDRE</t>
  </si>
  <si>
    <t xml:space="preserve"> </t>
  </si>
  <si>
    <t>.</t>
  </si>
  <si>
    <t>Morta total</t>
  </si>
  <si>
    <t>Retrabalho total</t>
  </si>
  <si>
    <t>total</t>
  </si>
  <si>
    <t>porcentagem unitaria</t>
  </si>
  <si>
    <t>ITEM</t>
  </si>
  <si>
    <t>Hora de entrada</t>
  </si>
  <si>
    <t>Hora de saída</t>
  </si>
  <si>
    <t>André</t>
  </si>
  <si>
    <t>AAM DO BRASIL</t>
  </si>
  <si>
    <t>0078841</t>
  </si>
  <si>
    <t>04107001004</t>
  </si>
  <si>
    <t>LILIAN</t>
  </si>
  <si>
    <t>PEDRO</t>
  </si>
  <si>
    <t>HORA de entrada</t>
  </si>
  <si>
    <t>HORA de saída</t>
  </si>
  <si>
    <t>054705</t>
  </si>
  <si>
    <t>GALVONOTECH</t>
  </si>
  <si>
    <t>0094286</t>
  </si>
  <si>
    <t>04695401005</t>
  </si>
  <si>
    <t>04693901001</t>
  </si>
  <si>
    <t>056918</t>
  </si>
  <si>
    <t>0088258</t>
  </si>
  <si>
    <t>057638</t>
  </si>
  <si>
    <t>MR MAQUINAS</t>
  </si>
  <si>
    <t>0094145</t>
  </si>
  <si>
    <t>04690701002</t>
  </si>
  <si>
    <t>057704</t>
  </si>
  <si>
    <t>THOME</t>
  </si>
  <si>
    <t>0094348</t>
  </si>
  <si>
    <t>04704101004</t>
  </si>
  <si>
    <t>ALEXANDRE</t>
  </si>
  <si>
    <t>045363</t>
  </si>
  <si>
    <t>04704101003</t>
  </si>
  <si>
    <t>057595</t>
  </si>
  <si>
    <t>MTE-THOMSON</t>
  </si>
  <si>
    <t>0094001</t>
  </si>
  <si>
    <t>04702901010</t>
  </si>
  <si>
    <t>057604</t>
  </si>
  <si>
    <t>UNIPLAS</t>
  </si>
  <si>
    <t>0093982</t>
  </si>
  <si>
    <t>04695101003</t>
  </si>
  <si>
    <t>DIMENSIONAL POR PEDRO</t>
  </si>
  <si>
    <t>SGLASS</t>
  </si>
  <si>
    <t>047181</t>
  </si>
  <si>
    <t>0093171</t>
  </si>
  <si>
    <t>04707501001</t>
  </si>
  <si>
    <t>040089</t>
  </si>
  <si>
    <t>HECE</t>
  </si>
  <si>
    <t>0094228</t>
  </si>
  <si>
    <t>04704001002</t>
  </si>
  <si>
    <t>057706</t>
  </si>
  <si>
    <t>USABERGCNC</t>
  </si>
  <si>
    <t>0093639</t>
  </si>
  <si>
    <t>04698501015</t>
  </si>
  <si>
    <t>057699</t>
  </si>
  <si>
    <t>BT COMERCIO</t>
  </si>
  <si>
    <t>0094400</t>
  </si>
  <si>
    <t>04704601002</t>
  </si>
  <si>
    <t>RIOSULENSE</t>
  </si>
  <si>
    <t>050430</t>
  </si>
  <si>
    <t>0093889</t>
  </si>
  <si>
    <t>04708201001</t>
  </si>
  <si>
    <t>055877</t>
  </si>
  <si>
    <t>WEG</t>
  </si>
  <si>
    <t>0092406</t>
  </si>
  <si>
    <t>04708701002</t>
  </si>
  <si>
    <t>057491</t>
  </si>
  <si>
    <t>04690701001</t>
  </si>
  <si>
    <t>MONTAGEM CASTANHA PERO / ALEXANDRE</t>
  </si>
  <si>
    <t>006968</t>
  </si>
  <si>
    <t>RAUMAK</t>
  </si>
  <si>
    <t>0093969</t>
  </si>
  <si>
    <t>04706601002</t>
  </si>
  <si>
    <t>037267</t>
  </si>
  <si>
    <t>SVG ROLAMENTOS</t>
  </si>
  <si>
    <t>0093869</t>
  </si>
  <si>
    <t>04708301001</t>
  </si>
  <si>
    <t>054998</t>
  </si>
  <si>
    <t>QUARKS</t>
  </si>
  <si>
    <t>0092943</t>
  </si>
  <si>
    <t>04693101001</t>
  </si>
  <si>
    <t>YGOR</t>
  </si>
  <si>
    <t>1 PEÇA DE UM CONJUNTO ESTAVA FORA DE ESQUADRO, FOI FABRICADO OUTRA.</t>
  </si>
  <si>
    <t>057787</t>
  </si>
  <si>
    <t>LAPAROL</t>
  </si>
  <si>
    <t>0094450</t>
  </si>
  <si>
    <t>025045</t>
  </si>
  <si>
    <t>04693101009</t>
  </si>
  <si>
    <t>GRAVADO POR ALEXANDRE</t>
  </si>
  <si>
    <t>057615</t>
  </si>
  <si>
    <t>MARRO</t>
  </si>
  <si>
    <t>0094063</t>
  </si>
  <si>
    <t>04682001003</t>
  </si>
  <si>
    <t>045270</t>
  </si>
  <si>
    <t>SMI</t>
  </si>
  <si>
    <t>0093351</t>
  </si>
  <si>
    <t>04626801002</t>
  </si>
  <si>
    <t>053652</t>
  </si>
  <si>
    <t>ASTEMO</t>
  </si>
  <si>
    <t>0094528</t>
  </si>
  <si>
    <t>04712901001</t>
  </si>
  <si>
    <t>057571</t>
  </si>
  <si>
    <t>GKN</t>
  </si>
  <si>
    <t>0094054</t>
  </si>
  <si>
    <t>04708501001</t>
  </si>
  <si>
    <t>MASSINI</t>
  </si>
  <si>
    <t>0094168</t>
  </si>
  <si>
    <t>04706701003</t>
  </si>
  <si>
    <t>056432</t>
  </si>
  <si>
    <t>04708701001</t>
  </si>
  <si>
    <t>06/01 - 12h</t>
  </si>
  <si>
    <t>faltava raspador, feito na impressora 3D</t>
  </si>
  <si>
    <t>053333</t>
  </si>
  <si>
    <t>HISTERESE</t>
  </si>
  <si>
    <t>0093528</t>
  </si>
  <si>
    <t>04710901003</t>
  </si>
  <si>
    <t>0094529</t>
  </si>
  <si>
    <t>HENRIQUE</t>
  </si>
  <si>
    <t>057637</t>
  </si>
  <si>
    <t>4690701008</t>
  </si>
  <si>
    <t>4690701009</t>
  </si>
  <si>
    <t>0094530</t>
  </si>
  <si>
    <t>057435</t>
  </si>
  <si>
    <t>LILIAN DIMENSIONAL</t>
  </si>
  <si>
    <t>056979</t>
  </si>
  <si>
    <t>ERGOMAT</t>
  </si>
  <si>
    <t>0090036</t>
  </si>
  <si>
    <t>4476401006</t>
  </si>
  <si>
    <t>057827</t>
  </si>
  <si>
    <t>04712801001</t>
  </si>
  <si>
    <t>17:10</t>
  </si>
  <si>
    <t>12:50</t>
  </si>
  <si>
    <t>057715</t>
  </si>
  <si>
    <t xml:space="preserve">SCM </t>
  </si>
  <si>
    <t>0094309</t>
  </si>
  <si>
    <t>4712101001</t>
  </si>
  <si>
    <t>17:15</t>
  </si>
  <si>
    <t>11:40</t>
  </si>
  <si>
    <t>057326</t>
  </si>
  <si>
    <t>0093530</t>
  </si>
  <si>
    <t>04711301002</t>
  </si>
  <si>
    <t>08:50</t>
  </si>
  <si>
    <t>DIMENSIONAL LILIAN - RELOGIO E MONTAGEM ALEXANDRE</t>
  </si>
  <si>
    <t>16:00</t>
  </si>
  <si>
    <t>057806</t>
  </si>
  <si>
    <t>UNILOCK</t>
  </si>
  <si>
    <t>0094537</t>
  </si>
  <si>
    <t>04714201001</t>
  </si>
  <si>
    <t>050460</t>
  </si>
  <si>
    <t>04710901002</t>
  </si>
  <si>
    <t>057020</t>
  </si>
  <si>
    <t>GDC</t>
  </si>
  <si>
    <t>0092892</t>
  </si>
  <si>
    <t>04711001001</t>
  </si>
  <si>
    <t>04711001002</t>
  </si>
  <si>
    <t>04711001003</t>
  </si>
  <si>
    <t>04711001004</t>
  </si>
  <si>
    <t>057021</t>
  </si>
  <si>
    <t>DIMENSIONAL ALEXANDRE, MONTAGEM LILIAN</t>
  </si>
  <si>
    <t>056430</t>
  </si>
  <si>
    <t>0093164</t>
  </si>
  <si>
    <t>04714301002</t>
  </si>
  <si>
    <t>049522</t>
  </si>
  <si>
    <t>MULTI PACK</t>
  </si>
  <si>
    <t>0094328</t>
  </si>
  <si>
    <t>04712401002</t>
  </si>
  <si>
    <t>047600</t>
  </si>
  <si>
    <t>MOTOMAN</t>
  </si>
  <si>
    <t>0094511</t>
  </si>
  <si>
    <t>04711101001</t>
  </si>
  <si>
    <t>GRAVAÇÃO LILIAN</t>
  </si>
  <si>
    <t>10;12</t>
  </si>
  <si>
    <t>04715001002</t>
  </si>
  <si>
    <t>0094347</t>
  </si>
  <si>
    <t>TAGLIO</t>
  </si>
  <si>
    <t>057721</t>
  </si>
  <si>
    <t>056021</t>
  </si>
  <si>
    <t>04714301004</t>
  </si>
  <si>
    <t>057128</t>
  </si>
  <si>
    <t>04714301005</t>
  </si>
  <si>
    <t>057859</t>
  </si>
  <si>
    <t>DR PROMAQ</t>
  </si>
  <si>
    <t>04717501001</t>
  </si>
  <si>
    <t>CASTANHA UTILIZADA DO CONJUNTO QUE VEIO EM TROCA EM GARANTIA</t>
  </si>
  <si>
    <t>056377</t>
  </si>
  <si>
    <t>0092399</t>
  </si>
  <si>
    <t>04693701005</t>
  </si>
  <si>
    <t>054086</t>
  </si>
  <si>
    <t xml:space="preserve"> FRUM</t>
  </si>
  <si>
    <t>0094535</t>
  </si>
  <si>
    <t>04713001001</t>
  </si>
  <si>
    <t>ALEXANDRE PÇ01 / PEDRO PÇ02</t>
  </si>
  <si>
    <t>057825</t>
  </si>
  <si>
    <t>NIDEC</t>
  </si>
  <si>
    <t>0094538</t>
  </si>
  <si>
    <t>04718001001</t>
  </si>
  <si>
    <t>YGOR / PEDRO</t>
  </si>
  <si>
    <t>057337</t>
  </si>
  <si>
    <t>N-TEC</t>
  </si>
  <si>
    <t>0093552</t>
  </si>
  <si>
    <t>04714901001</t>
  </si>
  <si>
    <t>057857</t>
  </si>
  <si>
    <t>JUND-ROL</t>
  </si>
  <si>
    <t>0094563</t>
  </si>
  <si>
    <t>04718101001</t>
  </si>
  <si>
    <t>MONTAGEM DA CASTANHA USINADA LILIAN/MONTAGEM CASTANHA L MARCOS</t>
  </si>
  <si>
    <t>056428</t>
  </si>
  <si>
    <t>04714301006</t>
  </si>
  <si>
    <t>055494</t>
  </si>
  <si>
    <t>EATON</t>
  </si>
  <si>
    <t>0094510</t>
  </si>
  <si>
    <t>04715101001</t>
  </si>
  <si>
    <t>04714301001</t>
  </si>
  <si>
    <t>04714301003</t>
  </si>
  <si>
    <t>040583</t>
  </si>
  <si>
    <t>OVERDRILL</t>
  </si>
  <si>
    <t>0094581</t>
  </si>
  <si>
    <t>04722901001</t>
  </si>
  <si>
    <t>057722</t>
  </si>
  <si>
    <t>04715001001</t>
  </si>
  <si>
    <t>057634</t>
  </si>
  <si>
    <t>MESSE R</t>
  </si>
  <si>
    <t>0094440</t>
  </si>
  <si>
    <t>04717701001</t>
  </si>
  <si>
    <t>DIMENSIONAL LILIAN E ALEXANDRE</t>
  </si>
  <si>
    <t>056319</t>
  </si>
  <si>
    <t>CINPAL</t>
  </si>
  <si>
    <t>0094554</t>
  </si>
  <si>
    <t>04722701001</t>
  </si>
  <si>
    <t>12/01 - 17:30</t>
  </si>
  <si>
    <t>0094323</t>
  </si>
  <si>
    <t>04719001004</t>
  </si>
  <si>
    <t>12/01 - 17:00</t>
  </si>
  <si>
    <t>YGOR INSPECIONOU NO DIA 12/01 - LILIAN MONTOU A CASTANHA NO DIA 13/01</t>
  </si>
  <si>
    <t>057840</t>
  </si>
  <si>
    <t>0094555</t>
  </si>
  <si>
    <t>04722801001</t>
  </si>
  <si>
    <t>040809</t>
  </si>
  <si>
    <t>0094616</t>
  </si>
  <si>
    <t>04724301001</t>
  </si>
  <si>
    <t>12/01 - 17:35</t>
  </si>
  <si>
    <t>057868</t>
  </si>
  <si>
    <t>0093604</t>
  </si>
  <si>
    <t>04687201006</t>
  </si>
  <si>
    <t>12/01 - ?</t>
  </si>
  <si>
    <t>051049</t>
  </si>
  <si>
    <t>HAHNTEL</t>
  </si>
  <si>
    <t>0094602</t>
  </si>
  <si>
    <t>04722601003</t>
  </si>
  <si>
    <t>041989</t>
  </si>
  <si>
    <t>0092493</t>
  </si>
  <si>
    <t>04723101002</t>
  </si>
  <si>
    <t>056762</t>
  </si>
  <si>
    <t>04723101001</t>
  </si>
  <si>
    <t>056546</t>
  </si>
  <si>
    <t>POWER MOENDAS</t>
  </si>
  <si>
    <t>0094611</t>
  </si>
  <si>
    <t>04724501001</t>
  </si>
  <si>
    <t>054130</t>
  </si>
  <si>
    <t>GLADII</t>
  </si>
  <si>
    <t>0093376</t>
  </si>
  <si>
    <t>04714401001</t>
  </si>
  <si>
    <t>057509</t>
  </si>
  <si>
    <t>FACCHINI</t>
  </si>
  <si>
    <t>0094081</t>
  </si>
  <si>
    <t>04707301001</t>
  </si>
  <si>
    <t>STATOMAT</t>
  </si>
  <si>
    <t>0094593</t>
  </si>
  <si>
    <t>057858</t>
  </si>
  <si>
    <t>04726801001</t>
  </si>
  <si>
    <t>BENTELER</t>
  </si>
  <si>
    <t>057912</t>
  </si>
  <si>
    <t>0094645</t>
  </si>
  <si>
    <t>04726901001</t>
  </si>
  <si>
    <t>MONTAGEM ALEXANDRE</t>
  </si>
  <si>
    <t>057650</t>
  </si>
  <si>
    <t>0094244</t>
  </si>
  <si>
    <t>04715801001</t>
  </si>
  <si>
    <t>13/01- 10:30:00</t>
  </si>
  <si>
    <t>049486</t>
  </si>
  <si>
    <t>FUNDICAO VENANCIO</t>
  </si>
  <si>
    <t>0094573</t>
  </si>
  <si>
    <t>04723001001</t>
  </si>
  <si>
    <t>13/01-16:55</t>
  </si>
  <si>
    <t xml:space="preserve">PECAS COM DIAMETRO DE 35(0+0,01) MENOR, AUTORIZADAS PELO ANDRE A LIBERAR E REPASSADA A ROSCA M35X1.5 </t>
  </si>
  <si>
    <t>UMA DAS PEÇAS COM DIFERENÇA DE MEDIDA NA PONTA (MENOR), AUTORIZADO PELO ANDRÉ A PASSAR</t>
  </si>
  <si>
    <t>056501</t>
  </si>
  <si>
    <t>PNEUMATICA</t>
  </si>
  <si>
    <t>0093525</t>
  </si>
  <si>
    <t>04726201001</t>
  </si>
  <si>
    <t>BIRISOLDAS</t>
  </si>
  <si>
    <t>057941</t>
  </si>
  <si>
    <t>0094648</t>
  </si>
  <si>
    <t>04730701001</t>
  </si>
  <si>
    <t>DIMENSIONAL E GRAVAÇÃO LILIAN E ALEXANDRE</t>
  </si>
  <si>
    <t xml:space="preserve">PLASSON </t>
  </si>
  <si>
    <t>011109</t>
  </si>
  <si>
    <t>0094647</t>
  </si>
  <si>
    <t>04730501001</t>
  </si>
  <si>
    <t>048650</t>
  </si>
  <si>
    <t>HELLER</t>
  </si>
  <si>
    <t>0093266</t>
  </si>
  <si>
    <t>04725301001</t>
  </si>
  <si>
    <t>043646</t>
  </si>
  <si>
    <t>OXIPIRA</t>
  </si>
  <si>
    <t>0094598</t>
  </si>
  <si>
    <t>04728201001</t>
  </si>
  <si>
    <t>057901</t>
  </si>
  <si>
    <t>0094633</t>
  </si>
  <si>
    <t>04727601001</t>
  </si>
  <si>
    <t>DIMENSIONAL LILIAN, MONTAGEM CASTANHA ALEXANDRE</t>
  </si>
  <si>
    <t>057005</t>
  </si>
  <si>
    <t>057003</t>
  </si>
  <si>
    <t>IRBI</t>
  </si>
  <si>
    <t>0094241</t>
  </si>
  <si>
    <t>0085023</t>
  </si>
  <si>
    <t>04734601001</t>
  </si>
  <si>
    <t>04734601002</t>
  </si>
  <si>
    <t>04396501003</t>
  </si>
  <si>
    <t>04396501004</t>
  </si>
  <si>
    <t>057524</t>
  </si>
  <si>
    <t>EVERTON</t>
  </si>
  <si>
    <t>0093887</t>
  </si>
  <si>
    <t>04678801002</t>
  </si>
  <si>
    <t>14/01-14:41</t>
  </si>
  <si>
    <t>057929</t>
  </si>
  <si>
    <t>AUT</t>
  </si>
  <si>
    <t>0094665</t>
  </si>
  <si>
    <t>04731101001</t>
  </si>
  <si>
    <t>14/01-18:00</t>
  </si>
  <si>
    <t>0093533</t>
  </si>
  <si>
    <t>057313</t>
  </si>
  <si>
    <t>057325</t>
  </si>
  <si>
    <t>057312</t>
  </si>
  <si>
    <t>DIMENSIONAL LILIAN</t>
  </si>
  <si>
    <t>054507</t>
  </si>
  <si>
    <t>KREIS</t>
  </si>
  <si>
    <t>0094113</t>
  </si>
  <si>
    <t>04731001003</t>
  </si>
  <si>
    <t>054498</t>
  </si>
  <si>
    <t>054499</t>
  </si>
  <si>
    <t>04731001001</t>
  </si>
  <si>
    <t>04731001002</t>
  </si>
  <si>
    <t>057950</t>
  </si>
  <si>
    <t xml:space="preserve"> INDUSTRIAL M.N</t>
  </si>
  <si>
    <t>0094634</t>
  </si>
  <si>
    <t>04727901002</t>
  </si>
  <si>
    <t>14/01-16:23</t>
  </si>
  <si>
    <t>04731101002</t>
  </si>
  <si>
    <t>054896</t>
  </si>
  <si>
    <t>MULTIPET</t>
  </si>
  <si>
    <t>0091608</t>
  </si>
  <si>
    <t>04733401001</t>
  </si>
  <si>
    <t>FUNDIÇÃO VENANCIO - PORCA CALIBRADORA NÃO CHEGOU ATE O FINAL. FOI REPASSADO NO TORNO</t>
  </si>
  <si>
    <t>OMR - 04731301001 - MORREU NO DESBASTE, PASTILHA VIROU E DEIXOU A MEDIDA MENOR</t>
  </si>
  <si>
    <t>054899</t>
  </si>
  <si>
    <t>0092795</t>
  </si>
  <si>
    <t>04724801001</t>
  </si>
  <si>
    <t>057954</t>
  </si>
  <si>
    <t>SEW-EURODRIVE</t>
  </si>
  <si>
    <t>0094708</t>
  </si>
  <si>
    <t>04736501001</t>
  </si>
  <si>
    <t>057955</t>
  </si>
  <si>
    <t>04736501002</t>
  </si>
  <si>
    <t>057878</t>
  </si>
  <si>
    <t>4AUTOM</t>
  </si>
  <si>
    <t>0094655</t>
  </si>
  <si>
    <t>04734901006</t>
  </si>
  <si>
    <t>054898</t>
  </si>
  <si>
    <t>04733401003</t>
  </si>
  <si>
    <t>4693101011</t>
  </si>
  <si>
    <t>0092794</t>
  </si>
  <si>
    <t>04724701001</t>
  </si>
  <si>
    <t>0094599</t>
  </si>
  <si>
    <t>PROJETO ALUMINIO LTDA</t>
  </si>
  <si>
    <t>057862</t>
  </si>
  <si>
    <t>057864</t>
  </si>
  <si>
    <t>057865</t>
  </si>
  <si>
    <t>04731501001</t>
  </si>
  <si>
    <t>04731501002</t>
  </si>
  <si>
    <t>04731501003</t>
  </si>
  <si>
    <t>0091610</t>
  </si>
  <si>
    <t>04733601001</t>
  </si>
  <si>
    <t>15/01-12:40</t>
  </si>
  <si>
    <t>054897</t>
  </si>
  <si>
    <t>0091578</t>
  </si>
  <si>
    <t>04733501003</t>
  </si>
  <si>
    <t>15/01-16:55</t>
  </si>
  <si>
    <t>057746</t>
  </si>
  <si>
    <t>OMR</t>
  </si>
  <si>
    <t>0094630</t>
  </si>
  <si>
    <t>04731301001</t>
  </si>
  <si>
    <t>057747</t>
  </si>
  <si>
    <t>04731301002</t>
  </si>
  <si>
    <t>0091580</t>
  </si>
  <si>
    <t>04733501001</t>
  </si>
  <si>
    <t>04737101001</t>
  </si>
  <si>
    <t>15/01-16:00</t>
  </si>
  <si>
    <t>15/01-15:44</t>
  </si>
  <si>
    <t>047516</t>
  </si>
  <si>
    <t>0094447</t>
  </si>
  <si>
    <t>04703401003</t>
  </si>
  <si>
    <t>057947</t>
  </si>
  <si>
    <t>INDEL</t>
  </si>
  <si>
    <t>0094684</t>
  </si>
  <si>
    <t>04735401005</t>
  </si>
  <si>
    <t>057946</t>
  </si>
  <si>
    <t>04735401004</t>
  </si>
  <si>
    <t>057948</t>
  </si>
  <si>
    <t>04735401006</t>
  </si>
  <si>
    <t>057651</t>
  </si>
  <si>
    <t>04739201001</t>
  </si>
  <si>
    <t xml:space="preserve"> LINEAR STAGE DEL</t>
  </si>
  <si>
    <t>055777</t>
  </si>
  <si>
    <t>INMES</t>
  </si>
  <si>
    <t>0093704</t>
  </si>
  <si>
    <t>04739301001</t>
  </si>
  <si>
    <t>04733401002</t>
  </si>
  <si>
    <t>15/01-16:40</t>
  </si>
  <si>
    <t>04733501002</t>
  </si>
  <si>
    <t>16/01-12:43</t>
  </si>
  <si>
    <t>055778</t>
  </si>
  <si>
    <t>04739301002</t>
  </si>
  <si>
    <t>017851</t>
  </si>
  <si>
    <t>COMERCIAL</t>
  </si>
  <si>
    <t>0090527</t>
  </si>
  <si>
    <t>04437601008</t>
  </si>
  <si>
    <t>16/01-16:30</t>
  </si>
  <si>
    <t>0090525</t>
  </si>
  <si>
    <t>04437501008</t>
  </si>
  <si>
    <t>057968</t>
  </si>
  <si>
    <t>H.F.SISTEMAS</t>
  </si>
  <si>
    <t>0094763</t>
  </si>
  <si>
    <t>04742601001</t>
  </si>
  <si>
    <t>053419</t>
  </si>
  <si>
    <t>04712401001</t>
  </si>
  <si>
    <t>057883</t>
  </si>
  <si>
    <t>04731301003</t>
  </si>
  <si>
    <t>051357</t>
  </si>
  <si>
    <t>04719001003</t>
  </si>
  <si>
    <t>DIMENSIONAL LILIAN E YGOR</t>
  </si>
  <si>
    <t>038992</t>
  </si>
  <si>
    <t>MAHLE</t>
  </si>
  <si>
    <t>0093548</t>
  </si>
  <si>
    <t>04714801001</t>
  </si>
  <si>
    <t>057533</t>
  </si>
  <si>
    <t>0093949</t>
  </si>
  <si>
    <t>04739401001</t>
  </si>
  <si>
    <t>CASTANHA MONTADA POR YGOR</t>
  </si>
  <si>
    <t>0090526</t>
  </si>
  <si>
    <t>04376901016</t>
  </si>
  <si>
    <t>MONTAGEM CASTANHA ALEXANDRE</t>
  </si>
  <si>
    <t>048509</t>
  </si>
  <si>
    <t>ROLESTE</t>
  </si>
  <si>
    <t>0094271</t>
  </si>
  <si>
    <t>04730201001</t>
  </si>
  <si>
    <t>057952</t>
  </si>
  <si>
    <t>ZDN</t>
  </si>
  <si>
    <t>0088694</t>
  </si>
  <si>
    <t>04566001003</t>
  </si>
  <si>
    <t>MONTAGEM CASTANHA PEDRO</t>
  </si>
  <si>
    <t>033702</t>
  </si>
  <si>
    <t>VIPAL</t>
  </si>
  <si>
    <t>0094140</t>
  </si>
  <si>
    <t>04740301001</t>
  </si>
  <si>
    <t>057734</t>
  </si>
  <si>
    <t>0094349</t>
  </si>
  <si>
    <t>0094310</t>
  </si>
  <si>
    <t>057733</t>
  </si>
  <si>
    <t>04740701001</t>
  </si>
  <si>
    <t>04740901001</t>
  </si>
  <si>
    <t xml:space="preserve">VERRY </t>
  </si>
  <si>
    <t>054333</t>
  </si>
  <si>
    <t>0093734</t>
  </si>
  <si>
    <t>04740201001</t>
  </si>
  <si>
    <t>04740001001</t>
  </si>
  <si>
    <t>0093304</t>
  </si>
  <si>
    <t>057141</t>
  </si>
  <si>
    <t>052057</t>
  </si>
  <si>
    <t>0092206</t>
  </si>
  <si>
    <t>04508701002</t>
  </si>
  <si>
    <t>057993</t>
  </si>
  <si>
    <t>0094770</t>
  </si>
  <si>
    <t>04743601003</t>
  </si>
  <si>
    <t>057951</t>
  </si>
  <si>
    <t>TOX</t>
  </si>
  <si>
    <t>04744601001</t>
  </si>
  <si>
    <t>0094781</t>
  </si>
  <si>
    <t>057938</t>
  </si>
  <si>
    <t>LIEDER</t>
  </si>
  <si>
    <t>0094649</t>
  </si>
  <si>
    <t>04744901002</t>
  </si>
  <si>
    <t>057199</t>
  </si>
  <si>
    <t>SCANIA</t>
  </si>
  <si>
    <t>0093279</t>
  </si>
  <si>
    <t>04725401001</t>
  </si>
  <si>
    <t>057717</t>
  </si>
  <si>
    <t>APERAM</t>
  </si>
  <si>
    <t>0094606</t>
  </si>
  <si>
    <t>04727001002</t>
  </si>
  <si>
    <t>056929</t>
  </si>
  <si>
    <t>COMPANHIA BRASILEIRA</t>
  </si>
  <si>
    <t>0094118</t>
  </si>
  <si>
    <t>04687001002</t>
  </si>
  <si>
    <t>20/01-13:36</t>
  </si>
  <si>
    <t>057585</t>
  </si>
  <si>
    <t>WUTZL</t>
  </si>
  <si>
    <t>0094715</t>
  </si>
  <si>
    <t>04741001001</t>
  </si>
  <si>
    <t>ALEXADRE</t>
  </si>
  <si>
    <t>04733501004</t>
  </si>
  <si>
    <t>MULTTIPET</t>
  </si>
  <si>
    <t>04737101004</t>
  </si>
  <si>
    <t>20/01-17:40</t>
  </si>
  <si>
    <t>057486</t>
  </si>
  <si>
    <t>CORTESA</t>
  </si>
  <si>
    <t>0094728</t>
  </si>
  <si>
    <t>04741101002</t>
  </si>
  <si>
    <t>20/01-16:45</t>
  </si>
  <si>
    <t>04737101002</t>
  </si>
  <si>
    <t>0090524</t>
  </si>
  <si>
    <t>04411001016</t>
  </si>
  <si>
    <t>058018</t>
  </si>
  <si>
    <t>058022</t>
  </si>
  <si>
    <t>0094813</t>
  </si>
  <si>
    <t>04748601001</t>
  </si>
  <si>
    <t>04748601002</t>
  </si>
  <si>
    <t>057804</t>
  </si>
  <si>
    <t>ZM</t>
  </si>
  <si>
    <t>0094480</t>
  </si>
  <si>
    <t>04747301001</t>
  </si>
  <si>
    <t>04737101003</t>
  </si>
  <si>
    <t>057485</t>
  </si>
  <si>
    <t>04741101001</t>
  </si>
  <si>
    <t>054732</t>
  </si>
  <si>
    <t>YAMATECH</t>
  </si>
  <si>
    <t>0090932</t>
  </si>
  <si>
    <t>04746001001</t>
  </si>
  <si>
    <t>ALEXANDRE-LILIAN</t>
  </si>
  <si>
    <t>1 PÇ ALEXADRE-2 PÇ LILIAN PEDRO</t>
  </si>
  <si>
    <t>04733601003</t>
  </si>
  <si>
    <t>21/01-16:15</t>
  </si>
  <si>
    <t>04724701004</t>
  </si>
  <si>
    <t>21/01-17:49</t>
  </si>
  <si>
    <t>04724701003</t>
  </si>
  <si>
    <t>057528</t>
  </si>
  <si>
    <t>AUMAQRS</t>
  </si>
  <si>
    <t>0094791</t>
  </si>
  <si>
    <t>04746301008</t>
  </si>
  <si>
    <t>044804</t>
  </si>
  <si>
    <t>LINCOLN</t>
  </si>
  <si>
    <t>0094861</t>
  </si>
  <si>
    <t>04755901001</t>
  </si>
  <si>
    <t>MESSER</t>
  </si>
  <si>
    <t>METALPRINT</t>
  </si>
  <si>
    <t>16;15</t>
  </si>
  <si>
    <t>GALMETA</t>
  </si>
  <si>
    <t>1 PEÇA RELOGIO LILIAN</t>
  </si>
  <si>
    <t>PX</t>
  </si>
  <si>
    <t>WHB</t>
  </si>
  <si>
    <t xml:space="preserve">ALEXANDRE DIMENSIONAL BUCHA E RELOGIO - LILIAN E YGOR DIMENSIONAL RESTANTES </t>
  </si>
  <si>
    <t>VALMET</t>
  </si>
  <si>
    <t>INTERMETRIC</t>
  </si>
  <si>
    <t>MECANICA M.N</t>
  </si>
  <si>
    <t>FOI APROVADO PELO PEDRINHO ABAIXO DO 25G5 [-0.003 / - 0.004]</t>
  </si>
  <si>
    <t>Data Anterior</t>
  </si>
  <si>
    <t>TECNOR</t>
  </si>
  <si>
    <t>USIPE</t>
  </si>
  <si>
    <t>FERDIMAT-IND</t>
  </si>
  <si>
    <t>VCI</t>
  </si>
  <si>
    <t>INDUCTOTHERM</t>
  </si>
  <si>
    <t>052419</t>
  </si>
  <si>
    <t>056959</t>
  </si>
  <si>
    <t>057925</t>
  </si>
  <si>
    <t>057926</t>
  </si>
  <si>
    <t>057617</t>
  </si>
  <si>
    <t>041645</t>
  </si>
  <si>
    <t>058053</t>
  </si>
  <si>
    <t>055277</t>
  </si>
  <si>
    <t>057965</t>
  </si>
  <si>
    <t>055556</t>
  </si>
  <si>
    <t>051071</t>
  </si>
  <si>
    <t>056476</t>
  </si>
  <si>
    <t>057594</t>
  </si>
  <si>
    <t>046352</t>
  </si>
  <si>
    <t>057618</t>
  </si>
  <si>
    <t>057992</t>
  </si>
  <si>
    <t>053425</t>
  </si>
  <si>
    <t>056778</t>
  </si>
  <si>
    <t>052165</t>
  </si>
  <si>
    <t>052164</t>
  </si>
  <si>
    <t>050904</t>
  </si>
  <si>
    <t>0094155</t>
  </si>
  <si>
    <t>0094091</t>
  </si>
  <si>
    <t>0094845</t>
  </si>
  <si>
    <t>0094074</t>
  </si>
  <si>
    <t>0094808</t>
  </si>
  <si>
    <t>0094487</t>
  </si>
  <si>
    <t>0094896</t>
  </si>
  <si>
    <t>0092487</t>
  </si>
  <si>
    <t>0092496</t>
  </si>
  <si>
    <t>0093929</t>
  </si>
  <si>
    <t>0094642</t>
  </si>
  <si>
    <t>0084172</t>
  </si>
  <si>
    <t>0094596</t>
  </si>
  <si>
    <t>0094767</t>
  </si>
  <si>
    <t>0094232</t>
  </si>
  <si>
    <t>0094769</t>
  </si>
  <si>
    <t>0094269</t>
  </si>
  <si>
    <t>0094853</t>
  </si>
  <si>
    <t>0094101</t>
  </si>
  <si>
    <t>04748001001</t>
  </si>
  <si>
    <t>04765801001</t>
  </si>
  <si>
    <t>04755001004</t>
  </si>
  <si>
    <t>04758401001</t>
  </si>
  <si>
    <t>04758601001</t>
  </si>
  <si>
    <t>04761201001</t>
  </si>
  <si>
    <t>04756301004</t>
  </si>
  <si>
    <t>04762401001</t>
  </si>
  <si>
    <t>04712201003</t>
  </si>
  <si>
    <t>04761101001</t>
  </si>
  <si>
    <t>04756001019</t>
  </si>
  <si>
    <t>04724701002</t>
  </si>
  <si>
    <t>04756001020</t>
  </si>
  <si>
    <t>04756301003</t>
  </si>
  <si>
    <t>04753001001</t>
  </si>
  <si>
    <t>04748701002</t>
  </si>
  <si>
    <t>04748701001</t>
  </si>
  <si>
    <t>04743801001</t>
  </si>
  <si>
    <t>04376901017</t>
  </si>
  <si>
    <t>04753701003</t>
  </si>
  <si>
    <t>04733601004</t>
  </si>
  <si>
    <t>04752801001</t>
  </si>
  <si>
    <t>04756001021</t>
  </si>
  <si>
    <t>04750301001</t>
  </si>
  <si>
    <t>04758501001</t>
  </si>
  <si>
    <t>04217801001</t>
  </si>
  <si>
    <t>051401</t>
  </si>
  <si>
    <t>AUTOMATIC</t>
  </si>
  <si>
    <t>058034</t>
  </si>
  <si>
    <t>METALURGICA RIOSULENSE-PORCA PASSA NÃO ESTÁ PASSANDO.FOI REPASSADO NO TORNO</t>
  </si>
  <si>
    <t>056867</t>
  </si>
  <si>
    <t>RUDOLPH</t>
  </si>
  <si>
    <t>015296</t>
  </si>
  <si>
    <t>SUAPE</t>
  </si>
  <si>
    <t>LILIAN MONTAGEM DE CASTANHA NA BARRA.</t>
  </si>
  <si>
    <t>alexandre</t>
  </si>
  <si>
    <t>NO MOVIMENTO DA TORRE, A FERRAMENTA ACABOU  MATANDO A PEÇA</t>
  </si>
  <si>
    <t>04747501001</t>
  </si>
  <si>
    <t>04762601002</t>
  </si>
  <si>
    <t>04763401002</t>
  </si>
  <si>
    <t>04763201002</t>
  </si>
  <si>
    <t>04765601001</t>
  </si>
  <si>
    <t>0094153</t>
  </si>
  <si>
    <t>0094916</t>
  </si>
  <si>
    <t>0092650</t>
  </si>
  <si>
    <t>0094892</t>
  </si>
  <si>
    <t>0093504</t>
  </si>
  <si>
    <t>0091054</t>
  </si>
  <si>
    <t>04765701001</t>
  </si>
  <si>
    <t>04733601002</t>
  </si>
  <si>
    <t>051407</t>
  </si>
  <si>
    <t>0093909</t>
  </si>
  <si>
    <t>04747801001</t>
  </si>
  <si>
    <t>058031</t>
  </si>
  <si>
    <t>METALURGICA</t>
  </si>
  <si>
    <t>04762601001</t>
  </si>
  <si>
    <t>051404</t>
  </si>
  <si>
    <t>04747501002</t>
  </si>
  <si>
    <t>PEÇA 1 LILIAN E PEÇA 2 ALEXANDRE</t>
  </si>
  <si>
    <t>056558</t>
  </si>
  <si>
    <t>0094520</t>
  </si>
  <si>
    <t>04766201001</t>
  </si>
  <si>
    <t>MONTAGEM DA CASTANHA YGOR</t>
  </si>
  <si>
    <t>020168</t>
  </si>
  <si>
    <t>0094960</t>
  </si>
  <si>
    <t>04768101001</t>
  </si>
  <si>
    <t>057923</t>
  </si>
  <si>
    <t>REIS</t>
  </si>
  <si>
    <t>0094636</t>
  </si>
  <si>
    <t>04734501004</t>
  </si>
  <si>
    <t>058127</t>
  </si>
  <si>
    <t>0094991</t>
  </si>
  <si>
    <t>04771501001</t>
  </si>
  <si>
    <t>057917</t>
  </si>
  <si>
    <t>04734501003</t>
  </si>
  <si>
    <t>052987</t>
  </si>
  <si>
    <t>FERDIMAT</t>
  </si>
  <si>
    <t>0093732</t>
  </si>
  <si>
    <t>04766701002</t>
  </si>
  <si>
    <t>52196</t>
  </si>
  <si>
    <t>0094917</t>
  </si>
  <si>
    <t>04767201001</t>
  </si>
  <si>
    <t>DIMENSIONAL YGOR - RELOGIO E MONTAGEM PÇ01 LILIAN</t>
  </si>
  <si>
    <t>04763101004</t>
  </si>
  <si>
    <t>0094910</t>
  </si>
  <si>
    <t>ENGINEERING</t>
  </si>
  <si>
    <t>001233</t>
  </si>
  <si>
    <t>058037</t>
  </si>
  <si>
    <t>04734501006</t>
  </si>
  <si>
    <t>058068</t>
  </si>
  <si>
    <t>CRONOS</t>
  </si>
  <si>
    <t>0094904</t>
  </si>
  <si>
    <t>04766101001</t>
  </si>
  <si>
    <t>055916</t>
  </si>
  <si>
    <t>04766701001</t>
  </si>
  <si>
    <t>04714301010</t>
  </si>
  <si>
    <t>058038</t>
  </si>
  <si>
    <t>048886</t>
  </si>
  <si>
    <t>04763101005</t>
  </si>
  <si>
    <t>058047</t>
  </si>
  <si>
    <t>ALIMTEC</t>
  </si>
  <si>
    <t>0094908</t>
  </si>
  <si>
    <t>04768201001</t>
  </si>
  <si>
    <t>058108</t>
  </si>
  <si>
    <t>ZEN S.A</t>
  </si>
  <si>
    <t>0094988</t>
  </si>
  <si>
    <t>04771201001</t>
  </si>
  <si>
    <t>DIMENSIONAL FUSO LILIAN,CASTANHA MONTADA POR ALEXANDRE E PEDRO</t>
  </si>
  <si>
    <t>055995</t>
  </si>
  <si>
    <t>056416</t>
  </si>
  <si>
    <t>DENSO</t>
  </si>
  <si>
    <t>0094881</t>
  </si>
  <si>
    <t>04766001001</t>
  </si>
  <si>
    <t>04766001002</t>
  </si>
  <si>
    <t>VETORE</t>
  </si>
  <si>
    <t>0092717</t>
  </si>
  <si>
    <t>04554901002</t>
  </si>
  <si>
    <t>058030</t>
  </si>
  <si>
    <t>04711301004</t>
  </si>
  <si>
    <t>1 PEÇA DE UM CONJUNTO ESTAVA FORA DE ESQUADRO, FOI FABRICADO OUTRA, POIS NÃO DARIA CERTO A COTA E.</t>
  </si>
  <si>
    <t>FRESA</t>
  </si>
  <si>
    <t>X</t>
  </si>
  <si>
    <t>GL1</t>
  </si>
  <si>
    <t xml:space="preserve"> MORREU NO DESBASTE, PASTILHA VIROU E DEIXOU A MEDIDA MENOR</t>
  </si>
  <si>
    <t>MORREU NO DESBASTE, PASTILHA VIROU E DEIXOU A MEDIDA MENOR</t>
  </si>
  <si>
    <t>APERAM - 04727001002 - OPERADOR CONFUNDIU A TOLERANCIA DA MEDIDA E FICOU MENOR.</t>
  </si>
  <si>
    <t>TORNO 3</t>
  </si>
  <si>
    <t>OPERADOR CONFUNDIU A TOLERANCIA DA MEDIDA E FICOU MENOR.</t>
  </si>
  <si>
    <t>CNC 30</t>
  </si>
  <si>
    <t>CNC 35</t>
  </si>
  <si>
    <t>001427</t>
  </si>
  <si>
    <t>INOVUS</t>
  </si>
  <si>
    <t>0093082</t>
  </si>
  <si>
    <t>04757701001</t>
  </si>
  <si>
    <t>PORCA PASSA NÃO ESTÁ PASSANDO.FOI REPASSADO NO TORNO</t>
  </si>
  <si>
    <t>04761101002</t>
  </si>
  <si>
    <t>MARCAS DE TRIPIDAÇÃO DE FERRAMENTA
SEM ACABAMENTO FINAL</t>
  </si>
  <si>
    <t>1 PÇLILIAN-2 PEÇAS ALEXANDRE - MARCAS DE TRIPIDAÇÃO DE FERRAMENTA
SEM ACABAMENTO FINAL</t>
  </si>
  <si>
    <t>29/01/0226</t>
  </si>
  <si>
    <t>TORNO 2</t>
  </si>
  <si>
    <t>2 NÃO CONFORME SEM CHAVETA.</t>
  </si>
  <si>
    <t>057644</t>
  </si>
  <si>
    <t>057665</t>
  </si>
  <si>
    <t>MADE</t>
  </si>
  <si>
    <t>0094166</t>
  </si>
  <si>
    <t>04765901001</t>
  </si>
  <si>
    <t>058126</t>
  </si>
  <si>
    <t>LUCIOS</t>
  </si>
  <si>
    <t>0095032</t>
  </si>
  <si>
    <t>04776401001</t>
  </si>
  <si>
    <t>058129</t>
  </si>
  <si>
    <t>JR FERRAMENTARIA</t>
  </si>
  <si>
    <t>0095020</t>
  </si>
  <si>
    <t>04775301001</t>
  </si>
  <si>
    <t>058064</t>
  </si>
  <si>
    <t>04765901003</t>
  </si>
  <si>
    <t>0093990</t>
  </si>
  <si>
    <t>04772301001</t>
  </si>
  <si>
    <t>057664</t>
  </si>
  <si>
    <t>04765901002</t>
  </si>
  <si>
    <t>058065</t>
  </si>
  <si>
    <t>04765901004</t>
  </si>
  <si>
    <t>DIMENSIONALYGOR</t>
  </si>
  <si>
    <t>057785</t>
  </si>
  <si>
    <t>0094619</t>
  </si>
  <si>
    <t>04768701001</t>
  </si>
  <si>
    <t>0093981</t>
  </si>
  <si>
    <t>04768601002</t>
  </si>
  <si>
    <t>058142</t>
  </si>
  <si>
    <t>METISA</t>
  </si>
  <si>
    <t>0095031</t>
  </si>
  <si>
    <t>04777801001</t>
  </si>
  <si>
    <t>048091</t>
  </si>
  <si>
    <t>04768601001</t>
  </si>
  <si>
    <t>042882</t>
  </si>
  <si>
    <t>USIMINAS</t>
  </si>
  <si>
    <t>0091625</t>
  </si>
  <si>
    <t>04741401001</t>
  </si>
  <si>
    <t>058101</t>
  </si>
  <si>
    <t>JCM</t>
  </si>
  <si>
    <t>0095029</t>
  </si>
  <si>
    <t>04778301001</t>
  </si>
  <si>
    <t>058138</t>
  </si>
  <si>
    <t>ETECON</t>
  </si>
  <si>
    <t>0095021</t>
  </si>
  <si>
    <t>04777701001</t>
  </si>
  <si>
    <t>058139</t>
  </si>
  <si>
    <t>ICON</t>
  </si>
  <si>
    <t>0095042</t>
  </si>
  <si>
    <t>04778201001</t>
  </si>
  <si>
    <t>057866</t>
  </si>
  <si>
    <t>MANUTEX</t>
  </si>
  <si>
    <t>0095008</t>
  </si>
  <si>
    <t>04777601001</t>
  </si>
  <si>
    <t>057886</t>
  </si>
  <si>
    <t>0094980</t>
  </si>
  <si>
    <t>04772001001</t>
  </si>
  <si>
    <t>DIMENSIONAL ALEXANDRE</t>
  </si>
  <si>
    <t>054804</t>
  </si>
  <si>
    <t>ROLSUL</t>
  </si>
  <si>
    <t>0095030</t>
  </si>
  <si>
    <t>04777901001</t>
  </si>
  <si>
    <t>DIMENSIONAL PEDRO, RELÓGIO LILIAN</t>
  </si>
  <si>
    <t>058112</t>
  </si>
  <si>
    <t>0095007</t>
  </si>
  <si>
    <t>04777501001</t>
  </si>
  <si>
    <t>OQTIS</t>
  </si>
  <si>
    <t xml:space="preserve">OXIPIRA </t>
  </si>
  <si>
    <t xml:space="preserve">OMR </t>
  </si>
  <si>
    <t xml:space="preserve">GALVANOTEC </t>
  </si>
  <si>
    <t>GALVANOTEC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</si>
</sst>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.0000%"/>
    <numFmt numFmtId="166" formatCode="0.000000%"/>
  </numFmts>
  <fonts count="6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rgb="FF00B05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2"/>
      <color theme="5" tint="-0.249977111117893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b/>
      <sz val="16"/>
      <color rgb="FF00B05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sz val="14"/>
      <color theme="5"/>
      <name val="Aptos Narrow"/>
      <family val="2"/>
      <scheme val="minor"/>
    </font>
    <font>
      <b/>
      <sz val="14"/>
      <color theme="8"/>
      <name val="Aptos Narrow"/>
      <family val="2"/>
      <scheme val="minor"/>
    </font>
    <font>
      <b/>
      <sz val="24"/>
      <color theme="1"/>
      <name val="Arial Black"/>
      <family val="2"/>
    </font>
    <font>
      <b/>
      <sz val="11"/>
      <color theme="1" tint="0.14999847407452621"/>
      <name val="Aptos Narrow"/>
      <family val="2"/>
      <scheme val="minor"/>
    </font>
    <font>
      <b/>
      <sz val="28"/>
      <color theme="0"/>
      <name val="Arial Black"/>
      <family val="2"/>
    </font>
    <font>
      <b/>
      <sz val="12"/>
      <color theme="0"/>
      <name val="Aptos Narrow"/>
      <family val="2"/>
      <scheme val="minor"/>
    </font>
    <font>
      <b/>
      <sz val="26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u/>
      <sz val="14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7030A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theme="1"/>
      <name val="Aptos Narrow"/>
      <scheme val="minor"/>
    </font>
    <font>
      <sz val="10"/>
      <color rgb="FF00B050"/>
      <name val="Aptos Narrow"/>
      <scheme val="minor"/>
    </font>
    <font>
      <sz val="10"/>
      <color rgb="FFFF0000"/>
      <name val="Aptos Narrow"/>
      <scheme val="minor"/>
    </font>
    <font>
      <sz val="10"/>
      <color theme="5" tint="-0.249977111117893"/>
      <name val="Aptos Narrow"/>
      <scheme val="minor"/>
    </font>
    <font>
      <sz val="10"/>
      <color rgb="FF0070C0"/>
      <name val="Aptos Narrow"/>
      <scheme val="minor"/>
    </font>
    <font>
      <sz val="10"/>
      <color theme="5" tint="-0.499984740745262"/>
      <name val="Aptos Narrow"/>
      <scheme val="minor"/>
    </font>
    <font>
      <b/>
      <sz val="28"/>
      <color rgb="FFFF0000"/>
      <name val="Arial Black"/>
      <family val="2"/>
    </font>
    <font>
      <b/>
      <sz val="11"/>
      <color theme="1"/>
      <name val="Aptos Narrow"/>
      <scheme val="minor"/>
    </font>
    <font>
      <sz val="11"/>
      <color rgb="FF9C0006"/>
      <name val="Aptos Narrow"/>
      <family val="2"/>
      <scheme val="minor"/>
    </font>
    <font>
      <sz val="8"/>
      <color rgb="FF6D6D6D"/>
      <name val="Tahoma"/>
      <family val="2"/>
    </font>
    <font>
      <b/>
      <sz val="10"/>
      <color theme="1"/>
      <name val="Aptos Narrow"/>
      <scheme val="minor"/>
    </font>
    <font>
      <b/>
      <sz val="28"/>
      <color theme="1"/>
      <name val="Arial Black"/>
      <family val="2"/>
    </font>
    <font>
      <b/>
      <sz val="10"/>
      <color theme="1"/>
      <name val="Tahoma"/>
      <family val="2"/>
    </font>
    <font>
      <sz val="11"/>
      <name val="Aptos Narrow"/>
      <scheme val="minor"/>
    </font>
    <font>
      <sz val="11"/>
      <color theme="1"/>
      <name val="Tahoma"/>
      <family val="2"/>
    </font>
    <font>
      <b/>
      <sz val="11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8"/>
      <color rgb="FFFF0000"/>
      <name val="Arial Black"/>
      <family val="2"/>
    </font>
    <font>
      <sz val="16"/>
      <color theme="1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</patternFill>
    </fill>
    <fill>
      <patternFill patternType="solid">
        <fgColor rgb="FFFFFFFF"/>
        <bgColor indexed="8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7">
    <xf numFmtId="0" fontId="0" fillId="0" borderId="0"/>
    <xf numFmtId="9" fontId="25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9" fillId="18" borderId="0" applyNumberFormat="0" applyBorder="0" applyAlignment="0" applyProtection="0"/>
    <xf numFmtId="0" fontId="40" fillId="19" borderId="0" applyNumberFormat="0" applyBorder="0" applyAlignment="0" applyProtection="0"/>
    <xf numFmtId="0" fontId="57" fillId="21" borderId="0" applyNumberFormat="0" applyBorder="0" applyAlignment="0" applyProtection="0"/>
    <xf numFmtId="0" fontId="58" fillId="22" borderId="0" applyNumberFormat="0" applyFont="0" applyFill="0" applyBorder="0" applyAlignment="0" applyProtection="0">
      <alignment horizontal="left" vertical="top" wrapText="1"/>
    </xf>
  </cellStyleXfs>
  <cellXfs count="376">
    <xf numFmtId="0" fontId="0" fillId="0" borderId="0" xfId="0"/>
    <xf numFmtId="0" fontId="16" fillId="0" borderId="0" xfId="0" applyFont="1"/>
    <xf numFmtId="0" fontId="18" fillId="2" borderId="0" xfId="0" applyFont="1" applyFill="1"/>
    <xf numFmtId="0" fontId="19" fillId="3" borderId="0" xfId="0" applyFont="1" applyFill="1"/>
    <xf numFmtId="0" fontId="12" fillId="4" borderId="0" xfId="0" applyFont="1" applyFill="1"/>
    <xf numFmtId="0" fontId="17" fillId="0" borderId="0" xfId="0" applyFont="1"/>
    <xf numFmtId="0" fontId="21" fillId="0" borderId="0" xfId="0" applyFont="1"/>
    <xf numFmtId="0" fontId="0" fillId="6" borderId="0" xfId="0" applyFill="1"/>
    <xf numFmtId="0" fontId="3" fillId="6" borderId="0" xfId="0" applyFont="1" applyFill="1"/>
    <xf numFmtId="0" fontId="0" fillId="0" borderId="1" xfId="0" applyBorder="1"/>
    <xf numFmtId="0" fontId="23" fillId="5" borderId="1" xfId="0" applyFont="1" applyFill="1" applyBorder="1" applyAlignment="1">
      <alignment horizontal="center" vertical="center"/>
    </xf>
    <xf numFmtId="0" fontId="24" fillId="8" borderId="0" xfId="0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0" borderId="6" xfId="0" applyBorder="1"/>
    <xf numFmtId="164" fontId="0" fillId="0" borderId="0" xfId="0" applyNumberFormat="1"/>
    <xf numFmtId="0" fontId="0" fillId="0" borderId="1" xfId="0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1" xfId="0" applyFill="1" applyBorder="1" applyAlignment="1">
      <alignment horizontal="center" vertical="center"/>
    </xf>
    <xf numFmtId="0" fontId="27" fillId="13" borderId="1" xfId="0" applyFont="1" applyFill="1" applyBorder="1" applyAlignment="1">
      <alignment horizontal="center" vertical="center"/>
    </xf>
    <xf numFmtId="0" fontId="27" fillId="13" borderId="13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164" fontId="27" fillId="13" borderId="15" xfId="0" applyNumberFormat="1" applyFont="1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164" fontId="0" fillId="0" borderId="5" xfId="0" applyNumberFormat="1" applyBorder="1"/>
    <xf numFmtId="0" fontId="0" fillId="16" borderId="0" xfId="0" applyFill="1"/>
    <xf numFmtId="0" fontId="0" fillId="16" borderId="24" xfId="0" applyFill="1" applyBorder="1"/>
    <xf numFmtId="0" fontId="0" fillId="16" borderId="23" xfId="0" applyFill="1" applyBorder="1"/>
    <xf numFmtId="0" fontId="0" fillId="16" borderId="4" xfId="0" applyFill="1" applyBorder="1"/>
    <xf numFmtId="0" fontId="0" fillId="16" borderId="0" xfId="0" applyFill="1" applyBorder="1"/>
    <xf numFmtId="0" fontId="0" fillId="16" borderId="25" xfId="0" applyFill="1" applyBorder="1"/>
    <xf numFmtId="0" fontId="0" fillId="16" borderId="5" xfId="0" applyFill="1" applyBorder="1"/>
    <xf numFmtId="0" fontId="0" fillId="16" borderId="26" xfId="0" applyFill="1" applyBorder="1"/>
    <xf numFmtId="0" fontId="0" fillId="16" borderId="6" xfId="0" applyFill="1" applyBorder="1"/>
    <xf numFmtId="0" fontId="0" fillId="15" borderId="3" xfId="0" applyFill="1" applyBorder="1"/>
    <xf numFmtId="0" fontId="0" fillId="15" borderId="23" xfId="0" applyFill="1" applyBorder="1"/>
    <xf numFmtId="0" fontId="0" fillId="15" borderId="4" xfId="0" applyFill="1" applyBorder="1"/>
    <xf numFmtId="0" fontId="2" fillId="0" borderId="1" xfId="0" applyFont="1" applyBorder="1" applyAlignment="1">
      <alignment horizontal="center" vertical="center"/>
    </xf>
    <xf numFmtId="0" fontId="0" fillId="9" borderId="3" xfId="0" applyFill="1" applyBorder="1"/>
    <xf numFmtId="0" fontId="0" fillId="9" borderId="23" xfId="0" applyFill="1" applyBorder="1"/>
    <xf numFmtId="0" fontId="0" fillId="9" borderId="24" xfId="0" applyFill="1" applyBorder="1"/>
    <xf numFmtId="0" fontId="0" fillId="9" borderId="0" xfId="0" applyFill="1" applyBorder="1"/>
    <xf numFmtId="0" fontId="3" fillId="9" borderId="24" xfId="0" applyFont="1" applyFill="1" applyBorder="1"/>
    <xf numFmtId="0" fontId="3" fillId="9" borderId="0" xfId="0" applyFont="1" applyFill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31" fillId="17" borderId="1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4" fillId="0" borderId="0" xfId="0" applyFont="1"/>
    <xf numFmtId="0" fontId="35" fillId="0" borderId="0" xfId="0" applyFont="1"/>
    <xf numFmtId="0" fontId="36" fillId="0" borderId="1" xfId="0" applyFont="1" applyBorder="1" applyAlignment="1">
      <alignment vertical="center" wrapText="1"/>
    </xf>
    <xf numFmtId="0" fontId="29" fillId="0" borderId="1" xfId="0" applyFont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 wrapText="1"/>
    </xf>
    <xf numFmtId="165" fontId="0" fillId="0" borderId="0" xfId="0" applyNumberFormat="1"/>
    <xf numFmtId="166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0" fontId="0" fillId="0" borderId="0" xfId="0" applyNumberFormat="1"/>
    <xf numFmtId="10" fontId="0" fillId="0" borderId="0" xfId="1" applyNumberFormat="1" applyFont="1"/>
    <xf numFmtId="0" fontId="0" fillId="17" borderId="1" xfId="0" applyFill="1" applyBorder="1"/>
    <xf numFmtId="0" fontId="33" fillId="0" borderId="1" xfId="2" applyBorder="1"/>
    <xf numFmtId="0" fontId="42" fillId="0" borderId="1" xfId="0" applyFont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top"/>
    </xf>
    <xf numFmtId="10" fontId="0" fillId="16" borderId="0" xfId="0" applyNumberFormat="1" applyFill="1"/>
    <xf numFmtId="0" fontId="4" fillId="17" borderId="1" xfId="0" applyFont="1" applyFill="1" applyBorder="1" applyAlignment="1">
      <alignment horizontal="center" vertical="center" wrapText="1"/>
    </xf>
    <xf numFmtId="49" fontId="4" fillId="17" borderId="1" xfId="0" applyNumberFormat="1" applyFont="1" applyFill="1" applyBorder="1" applyAlignment="1">
      <alignment horizontal="center" vertical="center"/>
    </xf>
    <xf numFmtId="14" fontId="0" fillId="0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 vertical="center"/>
    </xf>
    <xf numFmtId="0" fontId="28" fillId="0" borderId="1" xfId="0" applyFont="1" applyFill="1" applyBorder="1" applyAlignment="1">
      <alignment horizontal="center" vertical="center"/>
    </xf>
    <xf numFmtId="0" fontId="35" fillId="0" borderId="1" xfId="0" applyFont="1" applyFill="1" applyBorder="1"/>
    <xf numFmtId="0" fontId="35" fillId="0" borderId="1" xfId="0" applyFont="1" applyFill="1" applyBorder="1" applyAlignment="1">
      <alignment horizontal="center"/>
    </xf>
    <xf numFmtId="0" fontId="0" fillId="0" borderId="1" xfId="0" applyFont="1" applyFill="1" applyBorder="1"/>
    <xf numFmtId="0" fontId="41" fillId="0" borderId="1" xfId="0" applyFont="1" applyFill="1" applyBorder="1" applyAlignment="1">
      <alignment horizontal="center" vertical="center"/>
    </xf>
    <xf numFmtId="49" fontId="47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wrapText="1"/>
    </xf>
    <xf numFmtId="0" fontId="32" fillId="0" borderId="1" xfId="0" applyFont="1" applyFill="1" applyBorder="1" applyAlignment="1">
      <alignment horizontal="center" vertical="center"/>
    </xf>
    <xf numFmtId="0" fontId="0" fillId="0" borderId="1" xfId="0" applyFill="1" applyBorder="1"/>
    <xf numFmtId="0" fontId="0" fillId="0" borderId="1" xfId="0" applyFill="1" applyBorder="1" applyAlignment="1">
      <alignment wrapText="1"/>
    </xf>
    <xf numFmtId="49" fontId="41" fillId="20" borderId="1" xfId="0" applyNumberFormat="1" applyFont="1" applyFill="1" applyBorder="1" applyAlignment="1">
      <alignment horizontal="center" vertical="center"/>
    </xf>
    <xf numFmtId="49" fontId="47" fillId="20" borderId="1" xfId="0" applyNumberFormat="1" applyFont="1" applyFill="1" applyBorder="1" applyAlignment="1">
      <alignment horizontal="center" vertical="center"/>
    </xf>
    <xf numFmtId="49" fontId="4" fillId="17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2" fillId="7" borderId="1" xfId="0" applyFont="1" applyFill="1" applyBorder="1" applyAlignment="1">
      <alignment horizontal="left" vertical="center"/>
    </xf>
    <xf numFmtId="1" fontId="48" fillId="17" borderId="1" xfId="0" applyNumberFormat="1" applyFont="1" applyFill="1" applyBorder="1" applyAlignment="1">
      <alignment horizontal="center" vertical="center" wrapText="1"/>
    </xf>
    <xf numFmtId="2" fontId="0" fillId="17" borderId="1" xfId="0" applyNumberFormat="1" applyFill="1" applyBorder="1"/>
    <xf numFmtId="0" fontId="49" fillId="17" borderId="1" xfId="0" applyFont="1" applyFill="1" applyBorder="1" applyAlignment="1">
      <alignment horizontal="center" vertical="center"/>
    </xf>
    <xf numFmtId="49" fontId="49" fillId="17" borderId="1" xfId="0" applyNumberFormat="1" applyFont="1" applyFill="1" applyBorder="1" applyAlignment="1">
      <alignment horizontal="center" vertical="center"/>
    </xf>
    <xf numFmtId="1" fontId="49" fillId="17" borderId="1" xfId="0" applyNumberFormat="1" applyFont="1" applyFill="1" applyBorder="1" applyAlignment="1">
      <alignment horizontal="center" vertical="center" wrapText="1"/>
    </xf>
    <xf numFmtId="49" fontId="49" fillId="17" borderId="1" xfId="0" applyNumberFormat="1" applyFont="1" applyFill="1" applyBorder="1" applyAlignment="1">
      <alignment horizontal="center" vertical="center" wrapText="1"/>
    </xf>
    <xf numFmtId="0" fontId="49" fillId="17" borderId="1" xfId="0" applyFont="1" applyFill="1" applyBorder="1" applyAlignment="1">
      <alignment horizontal="center" vertical="center" wrapText="1"/>
    </xf>
    <xf numFmtId="0" fontId="50" fillId="17" borderId="1" xfId="0" applyFont="1" applyFill="1" applyBorder="1" applyAlignment="1">
      <alignment horizontal="center" vertical="center"/>
    </xf>
    <xf numFmtId="0" fontId="49" fillId="17" borderId="1" xfId="0" applyFont="1" applyFill="1" applyBorder="1" applyAlignment="1">
      <alignment horizontal="center" vertical="top"/>
    </xf>
    <xf numFmtId="49" fontId="0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0" fillId="17" borderId="1" xfId="0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/>
    </xf>
    <xf numFmtId="0" fontId="37" fillId="17" borderId="1" xfId="0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 vertical="center"/>
    </xf>
    <xf numFmtId="0" fontId="52" fillId="17" borderId="1" xfId="0" applyFont="1" applyFill="1" applyBorder="1" applyAlignment="1">
      <alignment horizontal="center" vertical="center"/>
    </xf>
    <xf numFmtId="0" fontId="52" fillId="17" borderId="1" xfId="0" applyFont="1" applyFill="1" applyBorder="1" applyAlignment="1">
      <alignment horizontal="center" vertical="center" wrapText="1"/>
    </xf>
    <xf numFmtId="0" fontId="53" fillId="17" borderId="1" xfId="0" applyFont="1" applyFill="1" applyBorder="1" applyAlignment="1">
      <alignment horizontal="center" vertical="center"/>
    </xf>
    <xf numFmtId="0" fontId="54" fillId="17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7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55" fillId="7" borderId="1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41" fillId="16" borderId="1" xfId="0" applyFont="1" applyFill="1" applyBorder="1" applyAlignment="1">
      <alignment horizontal="center" vertical="center"/>
    </xf>
    <xf numFmtId="2" fontId="0" fillId="16" borderId="1" xfId="0" applyNumberFormat="1" applyFont="1" applyFill="1" applyBorder="1"/>
    <xf numFmtId="1" fontId="41" fillId="20" borderId="1" xfId="0" applyNumberFormat="1" applyFont="1" applyFill="1" applyBorder="1" applyAlignment="1">
      <alignment horizontal="center" vertical="center"/>
    </xf>
    <xf numFmtId="0" fontId="22" fillId="7" borderId="1" xfId="0" applyFont="1" applyFill="1" applyBorder="1" applyAlignment="1">
      <alignment horizontal="left" vertical="center"/>
    </xf>
    <xf numFmtId="2" fontId="41" fillId="0" borderId="1" xfId="4" applyNumberFormat="1" applyFont="1" applyFill="1" applyBorder="1"/>
    <xf numFmtId="2" fontId="0" fillId="0" borderId="1" xfId="0" applyNumberFormat="1" applyFont="1" applyFill="1" applyBorder="1"/>
    <xf numFmtId="2" fontId="0" fillId="0" borderId="1" xfId="0" applyNumberFormat="1" applyFill="1" applyBorder="1"/>
    <xf numFmtId="14" fontId="0" fillId="0" borderId="1" xfId="0" applyNumberFormat="1" applyBorder="1"/>
    <xf numFmtId="0" fontId="34" fillId="0" borderId="1" xfId="0" applyFont="1" applyBorder="1" applyAlignment="1">
      <alignment wrapText="1"/>
    </xf>
    <xf numFmtId="0" fontId="0" fillId="0" borderId="1" xfId="0" applyFill="1" applyBorder="1" applyAlignment="1">
      <alignment horizontal="center" vertical="center"/>
    </xf>
    <xf numFmtId="2" fontId="41" fillId="0" borderId="1" xfId="0" applyNumberFormat="1" applyFont="1" applyFill="1" applyBorder="1"/>
    <xf numFmtId="0" fontId="35" fillId="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27" fillId="14" borderId="15" xfId="0" applyNumberFormat="1" applyFont="1" applyFill="1" applyBorder="1" applyAlignment="1">
      <alignment horizontal="center" vertical="center"/>
    </xf>
    <xf numFmtId="49" fontId="59" fillId="17" borderId="1" xfId="0" applyNumberFormat="1" applyFont="1" applyFill="1" applyBorder="1" applyAlignment="1">
      <alignment horizontal="center" vertical="center"/>
    </xf>
    <xf numFmtId="0" fontId="0" fillId="0" borderId="1" xfId="3" applyNumberFormat="1" applyFont="1" applyFill="1" applyBorder="1" applyAlignment="1" applyProtection="1">
      <alignment horizontal="center" vertical="center"/>
    </xf>
    <xf numFmtId="0" fontId="60" fillId="7" borderId="1" xfId="0" applyFont="1" applyFill="1" applyBorder="1" applyAlignment="1">
      <alignment horizontal="left" vertical="center"/>
    </xf>
    <xf numFmtId="0" fontId="60" fillId="7" borderId="1" xfId="0" applyFont="1" applyFill="1" applyBorder="1" applyAlignment="1">
      <alignment horizontal="center" vertical="center"/>
    </xf>
    <xf numFmtId="0" fontId="0" fillId="0" borderId="1" xfId="3" applyNumberFormat="1" applyFont="1" applyFill="1" applyBorder="1" applyAlignment="1" applyProtection="1">
      <alignment horizontal="center" vertical="top" wrapText="1"/>
    </xf>
    <xf numFmtId="0" fontId="22" fillId="7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left" vertical="top"/>
    </xf>
    <xf numFmtId="0" fontId="0" fillId="17" borderId="1" xfId="0" applyFill="1" applyBorder="1" applyAlignment="1">
      <alignment horizontal="left"/>
    </xf>
    <xf numFmtId="2" fontId="0" fillId="17" borderId="1" xfId="0" applyNumberFormat="1" applyFill="1" applyBorder="1" applyAlignment="1">
      <alignment horizontal="left"/>
    </xf>
    <xf numFmtId="0" fontId="0" fillId="0" borderId="1" xfId="0" applyBorder="1" applyAlignment="1">
      <alignment horizontal="left"/>
    </xf>
    <xf numFmtId="2" fontId="41" fillId="0" borderId="1" xfId="4" applyNumberFormat="1" applyFont="1" applyFill="1" applyBorder="1" applyAlignment="1">
      <alignment horizontal="left"/>
    </xf>
    <xf numFmtId="0" fontId="49" fillId="17" borderId="1" xfId="0" applyFont="1" applyFill="1" applyBorder="1" applyAlignment="1">
      <alignment horizontal="left" vertical="top"/>
    </xf>
    <xf numFmtId="2" fontId="0" fillId="0" borderId="1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left"/>
    </xf>
    <xf numFmtId="0" fontId="0" fillId="17" borderId="1" xfId="0" applyNumberFormat="1" applyFont="1" applyFill="1" applyBorder="1" applyAlignment="1">
      <alignment horizontal="center" vertical="center"/>
    </xf>
    <xf numFmtId="0" fontId="4" fillId="17" borderId="1" xfId="0" applyNumberFormat="1" applyFont="1" applyFill="1" applyBorder="1" applyAlignment="1">
      <alignment horizontal="center" vertical="center" wrapText="1"/>
    </xf>
    <xf numFmtId="0" fontId="6" fillId="17" borderId="1" xfId="0" applyNumberFormat="1" applyFont="1" applyFill="1" applyBorder="1" applyAlignment="1">
      <alignment horizontal="center" vertical="center"/>
    </xf>
    <xf numFmtId="0" fontId="2" fillId="17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0" fontId="0" fillId="0" borderId="1" xfId="4" applyNumberFormat="1" applyFont="1" applyFill="1" applyBorder="1" applyAlignment="1">
      <alignment horizontal="center" vertical="center"/>
    </xf>
    <xf numFmtId="0" fontId="32" fillId="0" borderId="1" xfId="4" applyNumberFormat="1" applyFont="1" applyFill="1" applyBorder="1" applyAlignment="1">
      <alignment horizontal="center" vertical="center"/>
    </xf>
    <xf numFmtId="0" fontId="32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0" fontId="6" fillId="0" borderId="1" xfId="0" applyNumberFormat="1" applyFont="1" applyFill="1" applyBorder="1" applyAlignment="1">
      <alignment horizontal="center" vertical="center"/>
    </xf>
    <xf numFmtId="0" fontId="15" fillId="2" borderId="1" xfId="0" applyNumberFormat="1" applyFont="1" applyFill="1" applyBorder="1" applyAlignment="1">
      <alignment horizontal="center" vertical="center"/>
    </xf>
    <xf numFmtId="0" fontId="13" fillId="2" borderId="1" xfId="0" applyNumberFormat="1" applyFont="1" applyFill="1" applyBorder="1" applyAlignment="1">
      <alignment horizontal="center" vertical="center"/>
    </xf>
    <xf numFmtId="0" fontId="14" fillId="2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  <xf numFmtId="14" fontId="0" fillId="0" borderId="1" xfId="0" applyNumberFormat="1" applyFont="1" applyFill="1" applyBorder="1" applyAlignment="1">
      <alignment horizontal="center" vertical="center"/>
    </xf>
    <xf numFmtId="49" fontId="0" fillId="0" borderId="1" xfId="4" applyNumberFormat="1" applyFont="1" applyFill="1" applyBorder="1" applyAlignment="1">
      <alignment horizontal="center" vertical="center"/>
    </xf>
    <xf numFmtId="49" fontId="0" fillId="0" borderId="1" xfId="3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horizontal="center"/>
    </xf>
    <xf numFmtId="0" fontId="32" fillId="0" borderId="1" xfId="0" applyNumberFormat="1" applyFont="1" applyFill="1" applyBorder="1" applyAlignment="1">
      <alignment horizontal="center"/>
    </xf>
    <xf numFmtId="1" fontId="32" fillId="0" borderId="1" xfId="0" applyNumberFormat="1" applyFont="1" applyFill="1" applyBorder="1" applyAlignment="1">
      <alignment horizontal="center"/>
    </xf>
    <xf numFmtId="1" fontId="0" fillId="0" borderId="1" xfId="0" applyNumberFormat="1" applyFont="1" applyFill="1" applyBorder="1" applyAlignment="1">
      <alignment horizontal="center"/>
    </xf>
    <xf numFmtId="49" fontId="41" fillId="0" borderId="1" xfId="0" applyNumberFormat="1" applyFont="1" applyFill="1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41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 vertical="center"/>
    </xf>
    <xf numFmtId="2" fontId="41" fillId="0" borderId="1" xfId="0" applyNumberFormat="1" applyFont="1" applyFill="1" applyBorder="1" applyAlignment="1">
      <alignment horizontal="center" vertical="center"/>
    </xf>
    <xf numFmtId="2" fontId="41" fillId="0" borderId="1" xfId="0" applyNumberFormat="1" applyFont="1" applyFill="1" applyBorder="1" applyAlignment="1">
      <alignment horizontal="left"/>
    </xf>
    <xf numFmtId="49" fontId="0" fillId="0" borderId="1" xfId="3" applyNumberFormat="1" applyFont="1" applyFill="1" applyBorder="1" applyAlignment="1" applyProtection="1">
      <alignment horizontal="center" vertical="center"/>
    </xf>
    <xf numFmtId="49" fontId="0" fillId="0" borderId="1" xfId="3" applyNumberFormat="1" applyFont="1" applyFill="1" applyBorder="1" applyAlignment="1" applyProtection="1">
      <alignment horizontal="center" vertical="top" wrapText="1"/>
    </xf>
    <xf numFmtId="1" fontId="32" fillId="0" borderId="1" xfId="0" applyNumberFormat="1" applyFont="1" applyFill="1" applyBorder="1" applyAlignment="1">
      <alignment horizontal="center" wrapText="1"/>
    </xf>
    <xf numFmtId="49" fontId="32" fillId="0" borderId="1" xfId="0" applyNumberFormat="1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/>
    </xf>
    <xf numFmtId="0" fontId="43" fillId="0" borderId="1" xfId="0" applyFont="1" applyFill="1" applyBorder="1" applyAlignment="1">
      <alignment horizontal="center" vertical="center"/>
    </xf>
    <xf numFmtId="0" fontId="44" fillId="0" borderId="1" xfId="0" applyFont="1" applyFill="1" applyBorder="1" applyAlignment="1">
      <alignment horizontal="center" vertical="center"/>
    </xf>
    <xf numFmtId="0" fontId="44" fillId="0" borderId="1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0" fontId="45" fillId="0" borderId="1" xfId="0" applyFont="1" applyFill="1" applyBorder="1" applyAlignment="1">
      <alignment horizontal="center" vertical="center"/>
    </xf>
    <xf numFmtId="0" fontId="46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top"/>
    </xf>
    <xf numFmtId="0" fontId="32" fillId="0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/>
    </xf>
    <xf numFmtId="2" fontId="40" fillId="0" borderId="1" xfId="4" applyNumberFormat="1" applyFont="1" applyFill="1" applyBorder="1"/>
    <xf numFmtId="0" fontId="2" fillId="11" borderId="1" xfId="0" applyFont="1" applyFill="1" applyBorder="1" applyAlignment="1">
      <alignment horizontal="center" vertical="center"/>
    </xf>
    <xf numFmtId="0" fontId="29" fillId="23" borderId="1" xfId="0" applyFont="1" applyFill="1" applyBorder="1" applyAlignment="1">
      <alignment horizontal="center" vertical="center" wrapText="1"/>
    </xf>
    <xf numFmtId="49" fontId="2" fillId="0" borderId="1" xfId="3" applyNumberFormat="1" applyFont="1" applyFill="1" applyBorder="1" applyAlignment="1" applyProtection="1">
      <alignment horizontal="center" vertical="top" wrapText="1"/>
    </xf>
    <xf numFmtId="164" fontId="27" fillId="14" borderId="16" xfId="0" applyNumberFormat="1" applyFont="1" applyFill="1" applyBorder="1" applyAlignment="1">
      <alignment horizontal="center" vertical="center"/>
    </xf>
    <xf numFmtId="49" fontId="41" fillId="0" borderId="1" xfId="4" applyNumberFormat="1" applyFont="1" applyFill="1" applyBorder="1" applyAlignment="1">
      <alignment horizontal="center" vertical="center"/>
    </xf>
    <xf numFmtId="0" fontId="64" fillId="2" borderId="0" xfId="0" applyFont="1" applyFill="1" applyAlignment="1">
      <alignment wrapText="1"/>
    </xf>
    <xf numFmtId="0" fontId="18" fillId="2" borderId="0" xfId="0" applyFont="1" applyFill="1" applyAlignment="1">
      <alignment wrapText="1"/>
    </xf>
    <xf numFmtId="0" fontId="19" fillId="3" borderId="0" xfId="0" applyFont="1" applyFill="1" applyAlignment="1">
      <alignment wrapText="1"/>
    </xf>
    <xf numFmtId="49" fontId="56" fillId="0" borderId="1" xfId="0" applyNumberFormat="1" applyFont="1" applyBorder="1" applyAlignment="1">
      <alignment horizontal="center" vertical="center"/>
    </xf>
    <xf numFmtId="164" fontId="27" fillId="13" borderId="16" xfId="0" applyNumberFormat="1" applyFont="1" applyFill="1" applyBorder="1" applyAlignment="1">
      <alignment horizontal="center" vertical="center"/>
    </xf>
    <xf numFmtId="49" fontId="0" fillId="0" borderId="31" xfId="0" applyNumberFormat="1" applyFont="1" applyFill="1" applyBorder="1" applyAlignment="1">
      <alignment horizontal="center" vertical="center"/>
    </xf>
    <xf numFmtId="0" fontId="0" fillId="0" borderId="28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top"/>
    </xf>
    <xf numFmtId="0" fontId="2" fillId="0" borderId="1" xfId="0" applyNumberFormat="1" applyFont="1" applyFill="1" applyBorder="1" applyAlignment="1">
      <alignment horizontal="center" vertical="center" wrapText="1"/>
    </xf>
    <xf numFmtId="0" fontId="42" fillId="0" borderId="1" xfId="0" applyNumberFormat="1" applyFont="1" applyFill="1" applyBorder="1" applyAlignment="1">
      <alignment horizontal="center" vertical="center"/>
    </xf>
    <xf numFmtId="49" fontId="63" fillId="0" borderId="1" xfId="0" applyNumberFormat="1" applyFont="1" applyFill="1" applyBorder="1" applyAlignment="1" applyProtection="1">
      <alignment horizontal="center" vertical="top" wrapText="1"/>
    </xf>
    <xf numFmtId="0" fontId="63" fillId="0" borderId="1" xfId="0" applyNumberFormat="1" applyFont="1" applyFill="1" applyBorder="1" applyAlignment="1" applyProtection="1">
      <alignment horizontal="center" vertical="top" wrapText="1"/>
    </xf>
    <xf numFmtId="0" fontId="0" fillId="0" borderId="1" xfId="0" applyNumberFormat="1" applyFont="1" applyFill="1" applyBorder="1" applyAlignment="1">
      <alignment horizontal="center" vertical="top"/>
    </xf>
    <xf numFmtId="2" fontId="32" fillId="0" borderId="1" xfId="0" applyNumberFormat="1" applyFont="1" applyFill="1" applyBorder="1" applyAlignment="1">
      <alignment horizontal="left"/>
    </xf>
    <xf numFmtId="0" fontId="32" fillId="0" borderId="1" xfId="0" applyFont="1" applyFill="1" applyBorder="1" applyAlignment="1">
      <alignment horizontal="left"/>
    </xf>
    <xf numFmtId="1" fontId="62" fillId="0" borderId="1" xfId="0" applyNumberFormat="1" applyFont="1" applyFill="1" applyBorder="1" applyAlignment="1">
      <alignment vertical="center"/>
    </xf>
    <xf numFmtId="0" fontId="32" fillId="0" borderId="1" xfId="5" applyNumberFormat="1" applyFont="1" applyFill="1" applyBorder="1" applyAlignment="1">
      <alignment horizontal="center" vertical="center"/>
    </xf>
    <xf numFmtId="0" fontId="32" fillId="0" borderId="30" xfId="0" applyNumberFormat="1" applyFont="1" applyFill="1" applyBorder="1" applyAlignment="1">
      <alignment horizontal="center" vertical="center"/>
    </xf>
    <xf numFmtId="0" fontId="0" fillId="0" borderId="30" xfId="0" applyNumberFormat="1" applyFont="1" applyFill="1" applyBorder="1" applyAlignment="1">
      <alignment horizontal="center" vertical="center"/>
    </xf>
    <xf numFmtId="49" fontId="2" fillId="0" borderId="30" xfId="0" applyNumberFormat="1" applyFont="1" applyFill="1" applyBorder="1" applyAlignment="1">
      <alignment horizontal="center" vertical="center"/>
    </xf>
    <xf numFmtId="2" fontId="0" fillId="0" borderId="30" xfId="0" applyNumberFormat="1" applyFont="1" applyFill="1" applyBorder="1" applyAlignment="1">
      <alignment horizontal="left" vertical="center"/>
    </xf>
    <xf numFmtId="2" fontId="0" fillId="0" borderId="30" xfId="0" applyNumberFormat="1" applyFill="1" applyBorder="1"/>
    <xf numFmtId="2" fontId="0" fillId="0" borderId="30" xfId="0" applyNumberFormat="1" applyFont="1" applyFill="1" applyBorder="1"/>
    <xf numFmtId="14" fontId="0" fillId="0" borderId="30" xfId="0" applyNumberFormat="1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left" vertical="center"/>
    </xf>
    <xf numFmtId="49" fontId="2" fillId="0" borderId="29" xfId="0" applyNumberFormat="1" applyFont="1" applyFill="1" applyBorder="1" applyAlignment="1">
      <alignment horizontal="center" vertical="center"/>
    </xf>
    <xf numFmtId="49" fontId="61" fillId="0" borderId="1" xfId="0" applyNumberFormat="1" applyFont="1" applyFill="1" applyBorder="1" applyAlignment="1" applyProtection="1">
      <alignment horizontal="center" vertical="center" wrapText="1"/>
    </xf>
    <xf numFmtId="20" fontId="41" fillId="0" borderId="1" xfId="0" applyNumberFormat="1" applyFont="1" applyFill="1" applyBorder="1" applyAlignment="1">
      <alignment horizontal="center" vertical="center"/>
    </xf>
    <xf numFmtId="20" fontId="0" fillId="0" borderId="1" xfId="0" applyNumberFormat="1" applyFont="1" applyFill="1" applyBorder="1" applyAlignment="1">
      <alignment horizontal="center" vertical="center"/>
    </xf>
    <xf numFmtId="16" fontId="0" fillId="0" borderId="1" xfId="0" applyNumberFormat="1" applyFont="1" applyFill="1" applyBorder="1" applyAlignment="1">
      <alignment horizontal="center" vertical="center"/>
    </xf>
    <xf numFmtId="14" fontId="0" fillId="24" borderId="1" xfId="0" applyNumberFormat="1" applyFont="1" applyFill="1" applyBorder="1" applyAlignment="1">
      <alignment horizontal="center" vertical="center"/>
    </xf>
    <xf numFmtId="49" fontId="0" fillId="24" borderId="1" xfId="4" applyNumberFormat="1" applyFont="1" applyFill="1" applyBorder="1" applyAlignment="1">
      <alignment horizontal="center" vertical="center"/>
    </xf>
    <xf numFmtId="1" fontId="32" fillId="24" borderId="1" xfId="0" applyNumberFormat="1" applyFont="1" applyFill="1" applyBorder="1" applyAlignment="1">
      <alignment horizontal="center"/>
    </xf>
    <xf numFmtId="1" fontId="0" fillId="24" borderId="1" xfId="0" applyNumberFormat="1" applyFont="1" applyFill="1" applyBorder="1" applyAlignment="1">
      <alignment horizontal="center" vertical="center"/>
    </xf>
    <xf numFmtId="49" fontId="0" fillId="24" borderId="1" xfId="0" applyNumberFormat="1" applyFont="1" applyFill="1" applyBorder="1" applyAlignment="1">
      <alignment horizontal="center" vertical="center"/>
    </xf>
    <xf numFmtId="49" fontId="2" fillId="24" borderId="1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 wrapText="1"/>
    </xf>
    <xf numFmtId="0" fontId="42" fillId="24" borderId="1" xfId="0" applyFont="1" applyFill="1" applyBorder="1" applyAlignment="1">
      <alignment horizontal="center" vertical="center"/>
    </xf>
    <xf numFmtId="0" fontId="43" fillId="24" borderId="1" xfId="0" applyFont="1" applyFill="1" applyBorder="1" applyAlignment="1">
      <alignment horizontal="center" vertical="center"/>
    </xf>
    <xf numFmtId="0" fontId="44" fillId="24" borderId="1" xfId="0" applyFont="1" applyFill="1" applyBorder="1" applyAlignment="1">
      <alignment horizontal="center" vertical="center"/>
    </xf>
    <xf numFmtId="0" fontId="44" fillId="24" borderId="1" xfId="0" applyFont="1" applyFill="1" applyBorder="1" applyAlignment="1">
      <alignment horizontal="center" vertical="center" wrapText="1"/>
    </xf>
    <xf numFmtId="0" fontId="43" fillId="24" borderId="1" xfId="0" applyFont="1" applyFill="1" applyBorder="1" applyAlignment="1">
      <alignment horizontal="center" vertical="center" wrapText="1"/>
    </xf>
    <xf numFmtId="0" fontId="45" fillId="24" borderId="1" xfId="0" applyFont="1" applyFill="1" applyBorder="1" applyAlignment="1">
      <alignment horizontal="center" vertical="center"/>
    </xf>
    <xf numFmtId="0" fontId="46" fillId="24" borderId="1" xfId="0" applyFont="1" applyFill="1" applyBorder="1" applyAlignment="1">
      <alignment horizontal="center" vertical="center"/>
    </xf>
    <xf numFmtId="14" fontId="41" fillId="24" borderId="1" xfId="0" applyNumberFormat="1" applyFont="1" applyFill="1" applyBorder="1" applyAlignment="1">
      <alignment horizontal="center" vertical="center"/>
    </xf>
    <xf numFmtId="20" fontId="41" fillId="24" borderId="1" xfId="0" applyNumberFormat="1" applyFont="1" applyFill="1" applyBorder="1" applyAlignment="1">
      <alignment horizontal="center" vertical="center"/>
    </xf>
    <xf numFmtId="2" fontId="0" fillId="24" borderId="1" xfId="0" applyNumberFormat="1" applyFont="1" applyFill="1" applyBorder="1" applyAlignment="1">
      <alignment horizontal="center" vertical="center"/>
    </xf>
    <xf numFmtId="0" fontId="0" fillId="24" borderId="1" xfId="0" applyFont="1" applyFill="1" applyBorder="1" applyAlignment="1">
      <alignment horizontal="center" vertical="center"/>
    </xf>
    <xf numFmtId="2" fontId="0" fillId="24" borderId="1" xfId="0" applyNumberFormat="1" applyFont="1" applyFill="1" applyBorder="1" applyAlignment="1">
      <alignment horizontal="left"/>
    </xf>
    <xf numFmtId="2" fontId="0" fillId="24" borderId="1" xfId="0" applyNumberFormat="1" applyFont="1" applyFill="1" applyBorder="1"/>
    <xf numFmtId="1" fontId="62" fillId="0" borderId="1" xfId="0" applyNumberFormat="1" applyFont="1" applyFill="1" applyBorder="1" applyAlignment="1">
      <alignment horizontal="center" vertical="center"/>
    </xf>
    <xf numFmtId="20" fontId="0" fillId="0" borderId="30" xfId="0" applyNumberFormat="1" applyFont="1" applyFill="1" applyBorder="1" applyAlignment="1">
      <alignment horizontal="center" vertical="center"/>
    </xf>
    <xf numFmtId="16" fontId="0" fillId="0" borderId="1" xfId="0" applyNumberFormat="1" applyBorder="1"/>
    <xf numFmtId="20" fontId="0" fillId="17" borderId="1" xfId="0" applyNumberFormat="1" applyFont="1" applyFill="1" applyBorder="1" applyAlignment="1">
      <alignment horizontal="center" vertical="center"/>
    </xf>
    <xf numFmtId="14" fontId="0" fillId="17" borderId="1" xfId="0" applyNumberFormat="1" applyFont="1" applyFill="1" applyBorder="1" applyAlignment="1">
      <alignment horizontal="center" vertical="center"/>
    </xf>
    <xf numFmtId="1" fontId="0" fillId="17" borderId="1" xfId="0" applyNumberFormat="1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1" fontId="65" fillId="17" borderId="1" xfId="0" applyNumberFormat="1" applyFont="1" applyFill="1" applyBorder="1" applyAlignment="1">
      <alignment horizontal="center" vertical="center"/>
    </xf>
    <xf numFmtId="1" fontId="66" fillId="7" borderId="1" xfId="0" applyNumberFormat="1" applyFont="1" applyFill="1" applyBorder="1" applyAlignment="1">
      <alignment horizontal="left" vertical="center"/>
    </xf>
    <xf numFmtId="1" fontId="0" fillId="0" borderId="30" xfId="0" applyNumberFormat="1" applyFont="1" applyFill="1" applyBorder="1" applyAlignment="1">
      <alignment horizontal="center" vertical="center"/>
    </xf>
    <xf numFmtId="1" fontId="67" fillId="2" borderId="1" xfId="0" applyNumberFormat="1" applyFont="1" applyFill="1" applyBorder="1" applyAlignment="1">
      <alignment horizontal="center" vertical="center"/>
    </xf>
    <xf numFmtId="1" fontId="34" fillId="17" borderId="1" xfId="0" applyNumberFormat="1" applyFont="1" applyFill="1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 vertical="top"/>
    </xf>
    <xf numFmtId="49" fontId="0" fillId="17" borderId="1" xfId="0" applyNumberFormat="1" applyFont="1" applyFill="1" applyBorder="1" applyAlignment="1">
      <alignment horizontal="center" vertical="center"/>
    </xf>
    <xf numFmtId="49" fontId="2" fillId="17" borderId="1" xfId="0" applyNumberFormat="1" applyFont="1" applyFill="1" applyBorder="1" applyAlignment="1">
      <alignment horizontal="center" vertical="center"/>
    </xf>
    <xf numFmtId="20" fontId="0" fillId="0" borderId="1" xfId="0" applyNumberFormat="1" applyFont="1" applyBorder="1" applyAlignment="1">
      <alignment horizontal="center" vertical="center"/>
    </xf>
    <xf numFmtId="49" fontId="0" fillId="24" borderId="1" xfId="3" applyNumberFormat="1" applyFont="1" applyFill="1" applyBorder="1" applyAlignment="1">
      <alignment horizontal="center" vertical="center"/>
    </xf>
    <xf numFmtId="0" fontId="32" fillId="24" borderId="1" xfId="0" applyNumberFormat="1" applyFont="1" applyFill="1" applyBorder="1" applyAlignment="1">
      <alignment horizontal="center" vertical="center"/>
    </xf>
    <xf numFmtId="0" fontId="0" fillId="24" borderId="1" xfId="0" applyNumberFormat="1" applyFont="1" applyFill="1" applyBorder="1" applyAlignment="1">
      <alignment horizontal="center" vertical="center"/>
    </xf>
    <xf numFmtId="0" fontId="2" fillId="24" borderId="1" xfId="0" applyNumberFormat="1" applyFont="1" applyFill="1" applyBorder="1" applyAlignment="1">
      <alignment horizontal="center" vertical="center" wrapText="1"/>
    </xf>
    <xf numFmtId="0" fontId="42" fillId="24" borderId="1" xfId="0" applyNumberFormat="1" applyFont="1" applyFill="1" applyBorder="1" applyAlignment="1">
      <alignment horizontal="center" vertical="center"/>
    </xf>
    <xf numFmtId="2" fontId="0" fillId="24" borderId="1" xfId="0" applyNumberFormat="1" applyFill="1" applyBorder="1"/>
    <xf numFmtId="0" fontId="4" fillId="24" borderId="1" xfId="0" applyNumberFormat="1" applyFont="1" applyFill="1" applyBorder="1" applyAlignment="1">
      <alignment horizontal="center" vertical="center" wrapText="1"/>
    </xf>
    <xf numFmtId="0" fontId="6" fillId="24" borderId="1" xfId="0" applyNumberFormat="1" applyFont="1" applyFill="1" applyBorder="1" applyAlignment="1">
      <alignment horizontal="center" vertical="center"/>
    </xf>
    <xf numFmtId="20" fontId="0" fillId="24" borderId="1" xfId="0" applyNumberFormat="1" applyFont="1" applyFill="1" applyBorder="1" applyAlignment="1">
      <alignment horizontal="center" vertical="center"/>
    </xf>
    <xf numFmtId="2" fontId="0" fillId="24" borderId="1" xfId="0" applyNumberFormat="1" applyFill="1" applyBorder="1" applyAlignment="1">
      <alignment horizontal="center" vertical="center"/>
    </xf>
    <xf numFmtId="2" fontId="0" fillId="24" borderId="1" xfId="0" applyNumberFormat="1" applyFill="1" applyBorder="1" applyAlignment="1">
      <alignment horizontal="left"/>
    </xf>
    <xf numFmtId="49" fontId="0" fillId="24" borderId="1" xfId="3" applyNumberFormat="1" applyFont="1" applyFill="1" applyBorder="1" applyAlignment="1" applyProtection="1">
      <alignment horizontal="center" vertical="top" wrapText="1"/>
    </xf>
    <xf numFmtId="0" fontId="0" fillId="24" borderId="1" xfId="0" applyNumberFormat="1" applyFont="1" applyFill="1" applyBorder="1" applyAlignment="1">
      <alignment horizontal="center" vertical="top"/>
    </xf>
    <xf numFmtId="49" fontId="41" fillId="20" borderId="1" xfId="0" applyNumberFormat="1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/>
    </xf>
    <xf numFmtId="14" fontId="0" fillId="25" borderId="1" xfId="0" applyNumberFormat="1" applyFont="1" applyFill="1" applyBorder="1" applyAlignment="1">
      <alignment horizontal="center" vertical="center"/>
    </xf>
    <xf numFmtId="49" fontId="0" fillId="25" borderId="1" xfId="3" applyNumberFormat="1" applyFont="1" applyFill="1" applyBorder="1" applyAlignment="1" applyProtection="1">
      <alignment horizontal="center" vertical="top" wrapText="1"/>
    </xf>
    <xf numFmtId="0" fontId="32" fillId="25" borderId="1" xfId="0" applyNumberFormat="1" applyFont="1" applyFill="1" applyBorder="1" applyAlignment="1">
      <alignment horizontal="center" vertical="center"/>
    </xf>
    <xf numFmtId="0" fontId="0" fillId="25" borderId="1" xfId="0" applyNumberFormat="1" applyFont="1" applyFill="1" applyBorder="1" applyAlignment="1">
      <alignment horizontal="center" vertical="center"/>
    </xf>
    <xf numFmtId="49" fontId="2" fillId="25" borderId="1" xfId="3" applyNumberFormat="1" applyFont="1" applyFill="1" applyBorder="1" applyAlignment="1" applyProtection="1">
      <alignment horizontal="center" vertical="top" wrapText="1"/>
    </xf>
    <xf numFmtId="0" fontId="2" fillId="25" borderId="1" xfId="0" applyNumberFormat="1" applyFont="1" applyFill="1" applyBorder="1" applyAlignment="1">
      <alignment horizontal="center" vertical="center" wrapText="1"/>
    </xf>
    <xf numFmtId="0" fontId="42" fillId="25" borderId="1" xfId="0" applyNumberFormat="1" applyFont="1" applyFill="1" applyBorder="1" applyAlignment="1">
      <alignment horizontal="center" vertical="center"/>
    </xf>
    <xf numFmtId="0" fontId="43" fillId="25" borderId="1" xfId="0" applyFont="1" applyFill="1" applyBorder="1" applyAlignment="1">
      <alignment horizontal="center" vertical="center"/>
    </xf>
    <xf numFmtId="0" fontId="44" fillId="25" borderId="1" xfId="0" applyFont="1" applyFill="1" applyBorder="1" applyAlignment="1">
      <alignment horizontal="center" vertical="center"/>
    </xf>
    <xf numFmtId="0" fontId="44" fillId="25" borderId="1" xfId="0" applyFont="1" applyFill="1" applyBorder="1" applyAlignment="1">
      <alignment horizontal="center" vertical="center" wrapText="1"/>
    </xf>
    <xf numFmtId="0" fontId="43" fillId="25" borderId="1" xfId="0" applyFont="1" applyFill="1" applyBorder="1" applyAlignment="1">
      <alignment horizontal="center" vertical="center" wrapText="1"/>
    </xf>
    <xf numFmtId="0" fontId="45" fillId="25" borderId="1" xfId="0" applyFont="1" applyFill="1" applyBorder="1" applyAlignment="1">
      <alignment horizontal="center" vertical="center"/>
    </xf>
    <xf numFmtId="0" fontId="46" fillId="25" borderId="1" xfId="0" applyFont="1" applyFill="1" applyBorder="1" applyAlignment="1">
      <alignment horizontal="center" vertical="center"/>
    </xf>
    <xf numFmtId="1" fontId="0" fillId="25" borderId="1" xfId="0" applyNumberFormat="1" applyFont="1" applyFill="1" applyBorder="1" applyAlignment="1">
      <alignment horizontal="center" vertical="center"/>
    </xf>
    <xf numFmtId="20" fontId="41" fillId="25" borderId="1" xfId="0" applyNumberFormat="1" applyFont="1" applyFill="1" applyBorder="1" applyAlignment="1">
      <alignment horizontal="center" vertical="center"/>
    </xf>
    <xf numFmtId="2" fontId="0" fillId="25" borderId="1" xfId="0" applyNumberFormat="1" applyFont="1" applyFill="1" applyBorder="1" applyAlignment="1">
      <alignment horizontal="center" vertical="center"/>
    </xf>
    <xf numFmtId="0" fontId="0" fillId="25" borderId="1" xfId="0" applyFont="1" applyFill="1" applyBorder="1" applyAlignment="1">
      <alignment horizontal="center" vertical="center"/>
    </xf>
    <xf numFmtId="2" fontId="0" fillId="25" borderId="1" xfId="0" applyNumberFormat="1" applyFont="1" applyFill="1" applyBorder="1" applyAlignment="1">
      <alignment horizontal="left"/>
    </xf>
    <xf numFmtId="2" fontId="0" fillId="25" borderId="1" xfId="0" applyNumberFormat="1" applyFont="1" applyFill="1" applyBorder="1"/>
    <xf numFmtId="2" fontId="0" fillId="25" borderId="1" xfId="0" applyNumberFormat="1" applyFill="1" applyBorder="1"/>
    <xf numFmtId="49" fontId="0" fillId="25" borderId="1" xfId="0" applyNumberFormat="1" applyFont="1" applyFill="1" applyBorder="1" applyAlignment="1">
      <alignment horizontal="center" vertical="center"/>
    </xf>
    <xf numFmtId="49" fontId="2" fillId="25" borderId="1" xfId="0" applyNumberFormat="1" applyFont="1" applyFill="1" applyBorder="1" applyAlignment="1">
      <alignment horizontal="center" vertical="center"/>
    </xf>
    <xf numFmtId="0" fontId="4" fillId="25" borderId="1" xfId="0" applyNumberFormat="1" applyFont="1" applyFill="1" applyBorder="1" applyAlignment="1">
      <alignment horizontal="center" vertical="center" wrapText="1"/>
    </xf>
    <xf numFmtId="0" fontId="6" fillId="25" borderId="1" xfId="0" applyNumberFormat="1" applyFont="1" applyFill="1" applyBorder="1" applyAlignment="1">
      <alignment horizontal="center" vertical="center"/>
    </xf>
    <xf numFmtId="20" fontId="0" fillId="25" borderId="1" xfId="0" applyNumberFormat="1" applyFont="1" applyFill="1" applyBorder="1" applyAlignment="1">
      <alignment horizontal="center" vertical="center"/>
    </xf>
    <xf numFmtId="2" fontId="0" fillId="25" borderId="1" xfId="0" applyNumberFormat="1" applyFill="1" applyBorder="1" applyAlignment="1">
      <alignment horizontal="center" vertical="center"/>
    </xf>
    <xf numFmtId="2" fontId="0" fillId="25" borderId="1" xfId="0" applyNumberFormat="1" applyFill="1" applyBorder="1" applyAlignment="1">
      <alignment horizontal="left"/>
    </xf>
    <xf numFmtId="0" fontId="0" fillId="0" borderId="0" xfId="0" applyFill="1" applyAlignment="1">
      <alignment horizontal="center"/>
    </xf>
    <xf numFmtId="0" fontId="0" fillId="1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2" fillId="7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0" fillId="2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0" fillId="16" borderId="0" xfId="0" applyFill="1" applyBorder="1" applyAlignment="1">
      <alignment horizontal="center"/>
    </xf>
    <xf numFmtId="0" fontId="0" fillId="16" borderId="24" xfId="0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6" borderId="25" xfId="0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 wrapText="1"/>
    </xf>
    <xf numFmtId="0" fontId="5" fillId="14" borderId="12" xfId="0" applyFont="1" applyFill="1" applyBorder="1" applyAlignment="1">
      <alignment horizontal="center" vertical="center" wrapText="1"/>
    </xf>
    <xf numFmtId="0" fontId="5" fillId="14" borderId="14" xfId="0" applyFont="1" applyFill="1" applyBorder="1" applyAlignment="1">
      <alignment horizontal="center" vertical="center" wrapText="1"/>
    </xf>
    <xf numFmtId="0" fontId="5" fillId="13" borderId="12" xfId="0" applyFont="1" applyFill="1" applyBorder="1" applyAlignment="1">
      <alignment horizontal="center" vertical="center" wrapText="1"/>
    </xf>
    <xf numFmtId="0" fontId="5" fillId="13" borderId="14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164" fontId="27" fillId="7" borderId="21" xfId="0" applyNumberFormat="1" applyFont="1" applyFill="1" applyBorder="1" applyAlignment="1">
      <alignment horizontal="center" vertical="center"/>
    </xf>
    <xf numFmtId="164" fontId="27" fillId="7" borderId="22" xfId="0" applyNumberFormat="1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 wrapText="1"/>
    </xf>
    <xf numFmtId="0" fontId="5" fillId="12" borderId="12" xfId="0" applyFont="1" applyFill="1" applyBorder="1" applyAlignment="1">
      <alignment horizontal="center" vertical="center" wrapText="1"/>
    </xf>
    <xf numFmtId="0" fontId="0" fillId="12" borderId="17" xfId="0" applyFill="1" applyBorder="1" applyAlignment="1">
      <alignment horizontal="center" vertical="center"/>
    </xf>
    <xf numFmtId="0" fontId="0" fillId="12" borderId="18" xfId="0" applyFill="1" applyBorder="1" applyAlignment="1">
      <alignment horizontal="center" vertical="center"/>
    </xf>
    <xf numFmtId="0" fontId="27" fillId="12" borderId="19" xfId="0" applyNumberFormat="1" applyFont="1" applyFill="1" applyBorder="1" applyAlignment="1">
      <alignment horizontal="center" vertical="center"/>
    </xf>
    <xf numFmtId="0" fontId="27" fillId="12" borderId="20" xfId="0" applyNumberFormat="1" applyFont="1" applyFill="1" applyBorder="1" applyAlignment="1">
      <alignment horizontal="center" vertical="center"/>
    </xf>
    <xf numFmtId="0" fontId="5" fillId="12" borderId="14" xfId="0" applyFont="1" applyFill="1" applyBorder="1" applyAlignment="1">
      <alignment horizontal="center" vertical="center" wrapText="1"/>
    </xf>
    <xf numFmtId="0" fontId="0" fillId="12" borderId="19" xfId="0" applyFill="1" applyBorder="1" applyAlignment="1">
      <alignment horizontal="center" vertical="center"/>
    </xf>
    <xf numFmtId="0" fontId="0" fillId="12" borderId="20" xfId="0" applyFill="1" applyBorder="1" applyAlignment="1">
      <alignment horizontal="center" vertical="center"/>
    </xf>
    <xf numFmtId="164" fontId="27" fillId="12" borderId="21" xfId="0" applyNumberFormat="1" applyFont="1" applyFill="1" applyBorder="1" applyAlignment="1">
      <alignment horizontal="center" vertical="center"/>
    </xf>
    <xf numFmtId="164" fontId="27" fillId="12" borderId="22" xfId="0" applyNumberFormat="1" applyFont="1" applyFill="1" applyBorder="1" applyAlignment="1">
      <alignment horizontal="center" vertical="center"/>
    </xf>
    <xf numFmtId="0" fontId="5" fillId="13" borderId="9" xfId="0" applyFont="1" applyFill="1" applyBorder="1" applyAlignment="1">
      <alignment horizontal="center" vertical="center" wrapText="1"/>
    </xf>
    <xf numFmtId="0" fontId="26" fillId="10" borderId="24" xfId="0" applyFont="1" applyFill="1" applyBorder="1" applyAlignment="1">
      <alignment horizontal="center" vertical="center"/>
    </xf>
    <xf numFmtId="0" fontId="26" fillId="10" borderId="0" xfId="0" applyFont="1" applyFill="1" applyBorder="1" applyAlignment="1">
      <alignment horizontal="center" vertical="center"/>
    </xf>
    <xf numFmtId="0" fontId="26" fillId="10" borderId="25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 wrapText="1"/>
    </xf>
    <xf numFmtId="0" fontId="5" fillId="11" borderId="12" xfId="0" applyFont="1" applyFill="1" applyBorder="1" applyAlignment="1">
      <alignment horizontal="center" vertical="center" wrapText="1"/>
    </xf>
    <xf numFmtId="0" fontId="5" fillId="11" borderId="14" xfId="0" applyFont="1" applyFill="1" applyBorder="1" applyAlignment="1">
      <alignment horizontal="center" vertical="center" wrapText="1"/>
    </xf>
    <xf numFmtId="0" fontId="27" fillId="11" borderId="10" xfId="0" applyFont="1" applyFill="1" applyBorder="1" applyAlignment="1">
      <alignment horizontal="center" vertical="center"/>
    </xf>
    <xf numFmtId="0" fontId="27" fillId="11" borderId="11" xfId="0" applyFont="1" applyFill="1" applyBorder="1" applyAlignment="1">
      <alignment horizontal="center" vertical="center"/>
    </xf>
    <xf numFmtId="0" fontId="27" fillId="11" borderId="1" xfId="0" applyFont="1" applyFill="1" applyBorder="1" applyAlignment="1">
      <alignment horizontal="center" vertical="center"/>
    </xf>
    <xf numFmtId="0" fontId="27" fillId="11" borderId="13" xfId="0" applyFont="1" applyFill="1" applyBorder="1" applyAlignment="1">
      <alignment horizontal="center" vertical="center"/>
    </xf>
    <xf numFmtId="0" fontId="27" fillId="11" borderId="15" xfId="0" applyFont="1" applyFill="1" applyBorder="1" applyAlignment="1">
      <alignment horizontal="center" vertical="center"/>
    </xf>
    <xf numFmtId="0" fontId="27" fillId="11" borderId="16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1" fontId="27" fillId="7" borderId="19" xfId="0" applyNumberFormat="1" applyFont="1" applyFill="1" applyBorder="1" applyAlignment="1">
      <alignment horizontal="center" vertical="center"/>
    </xf>
    <xf numFmtId="1" fontId="27" fillId="7" borderId="20" xfId="0" applyNumberFormat="1" applyFont="1" applyFill="1" applyBorder="1" applyAlignment="1">
      <alignment horizontal="center" vertical="center"/>
    </xf>
  </cellXfs>
  <cellStyles count="7">
    <cellStyle name="Bom" xfId="3" builtinId="26"/>
    <cellStyle name="Hiperlink" xfId="2" builtinId="8"/>
    <cellStyle name="Neutro" xfId="4" builtinId="28"/>
    <cellStyle name="Normal" xfId="0" builtinId="0"/>
    <cellStyle name="Normal 2" xfId="6" xr:uid="{00000000-0005-0000-0000-000005000000}"/>
    <cellStyle name="Porcentagem" xfId="1" builtinId="5"/>
    <cellStyle name="Ruim" xfId="5" builtinId="27"/>
  </cellStyles>
  <dxfs count="1"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FFFFFF"/>
      <color rgb="FF1560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effectLst>
                  <a:outerShdw blurRad="50800" dist="50800" dir="5400000" algn="ctr" rotWithShape="0">
                    <a:schemeClr val="tx1"/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tx1"/>
                </a:solidFill>
                <a:effectLst>
                  <a:outerShdw blurRad="50800" dist="50800" dir="5400000" algn="ctr" rotWithShape="0">
                    <a:schemeClr val="tx1"/>
                  </a:outerShdw>
                </a:effectLst>
              </a:rPr>
              <a:t>SETORES</a:t>
            </a:r>
            <a:r>
              <a:rPr lang="pt-BR" baseline="0">
                <a:solidFill>
                  <a:schemeClr val="tx1"/>
                </a:solidFill>
                <a:effectLst>
                  <a:outerShdw blurRad="50800" dist="50800" dir="5400000" algn="ctr" rotWithShape="0">
                    <a:schemeClr val="tx1"/>
                  </a:outerShdw>
                </a:effectLst>
              </a:rPr>
              <a:t> ONDE HOUVE REFUGOS</a:t>
            </a:r>
            <a:endParaRPr lang="pt-BR">
              <a:solidFill>
                <a:schemeClr val="tx1"/>
              </a:solidFill>
              <a:effectLst>
                <a:outerShdw blurRad="50800" dist="50800" dir="5400000" algn="ctr" rotWithShape="0">
                  <a:schemeClr val="tx1"/>
                </a:outerShdw>
              </a:effectLst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effectLst>
                <a:outerShdw blurRad="50800" dist="50800" dir="5400000" algn="ctr" rotWithShape="0">
                  <a:schemeClr val="tx1"/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'CONFIGURAÇÃO '!$D$2:$J$2</c:f>
              <c:strCache>
                <c:ptCount val="7"/>
                <c:pt idx="0">
                  <c:v>Usinagem</c:v>
                </c:pt>
                <c:pt idx="1">
                  <c:v>Inspeção</c:v>
                </c:pt>
                <c:pt idx="2">
                  <c:v>Desenho</c:v>
                </c:pt>
                <c:pt idx="3">
                  <c:v>Programação CNC</c:v>
                </c:pt>
                <c:pt idx="4">
                  <c:v>Produção</c:v>
                </c:pt>
                <c:pt idx="5">
                  <c:v>Comercial</c:v>
                </c:pt>
                <c:pt idx="6">
                  <c:v>PCP</c:v>
                </c:pt>
              </c:strCache>
            </c:strRef>
          </c:cat>
          <c:val>
            <c:numRef>
              <c:f>'CONFIGURAÇÃO '!$D$3:$J$3</c:f>
              <c:numCache>
                <c:formatCode>General</c:formatCode>
                <c:ptCount val="7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9-45C0-8DDF-63CDCBBC3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6533440"/>
        <c:axId val="576535400"/>
      </c:barChart>
      <c:catAx>
        <c:axId val="57653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rgbClr val="FFFFFF">
              <a:alpha val="0"/>
            </a:srgbClr>
          </a:solidFill>
          <a:ln w="9525" cap="flat" cmpd="sng" algn="ctr">
            <a:solidFill>
              <a:schemeClr val="tx1">
                <a:alpha val="98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>
                  <a:outerShdw blurRad="50800" dist="38100" dir="5400000" algn="ctr" rotWithShape="0">
                    <a:schemeClr val="tx1"/>
                  </a:outerShdw>
                </a:effectLst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5400"/>
        <c:crosses val="autoZero"/>
        <c:auto val="1"/>
        <c:lblAlgn val="ctr"/>
        <c:lblOffset val="100"/>
        <c:noMultiLvlLbl val="0"/>
      </c:catAx>
      <c:valAx>
        <c:axId val="576535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76533440"/>
        <c:crosses val="autoZero"/>
        <c:crossBetween val="between"/>
      </c:valAx>
      <c:spPr>
        <a:noFill/>
        <a:ln w="25400">
          <a:noFill/>
        </a:ln>
        <a:effectLst>
          <a:outerShdw blurRad="50800" dist="50800" dir="5400000" algn="ctr" rotWithShape="0">
            <a:srgbClr val="000000">
              <a:alpha val="43137"/>
            </a:srgbClr>
          </a:outerShdw>
        </a:effectLst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0" baseline="0">
                <a:ln w="0"/>
                <a:solidFill>
                  <a:schemeClr val="tx1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="0" cap="none" spc="0">
                <a:ln w="0"/>
                <a:solidFill>
                  <a:schemeClr val="tx1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a:rPr>
              <a:t>PEÇAS MORTAS X PEÇAS RETRABALHADAS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0" baseline="0">
              <a:ln w="0"/>
              <a:solidFill>
                <a:schemeClr val="tx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'CONFIGURAÇÃO '!$Q$2:$R$2</c:f>
              <c:strCache>
                <c:ptCount val="2"/>
                <c:pt idx="0">
                  <c:v>Morta total</c:v>
                </c:pt>
                <c:pt idx="1">
                  <c:v>Retrabalho total</c:v>
                </c:pt>
              </c:strCache>
            </c:strRef>
          </c:cat>
          <c:val>
            <c:numRef>
              <c:f>'CONFIGURAÇÃO '!$Q$3:$R$3</c:f>
              <c:numCache>
                <c:formatCode>General</c:formatCode>
                <c:ptCount val="2"/>
                <c:pt idx="0">
                  <c:v>4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11-4238-BC09-D93869351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7565232"/>
        <c:axId val="407570720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'CONFIGURAÇÃO '!$Q$2:$R$2</c:f>
              <c:strCache>
                <c:ptCount val="2"/>
                <c:pt idx="0">
                  <c:v>Morta total</c:v>
                </c:pt>
                <c:pt idx="1">
                  <c:v>Retrabalho total</c:v>
                </c:pt>
              </c:strCache>
            </c:strRef>
          </c:cat>
          <c:val>
            <c:numRef>
              <c:f>'CONFIGURAÇÃO '!$Q$4:$R$4</c:f>
              <c:numCache>
                <c:formatCode>General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11-4238-BC09-D93869351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565232"/>
        <c:axId val="407570720"/>
      </c:lineChart>
      <c:catAx>
        <c:axId val="40756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baseline="0">
                <a:ln w="0"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endParaRPr lang="pt-BR"/>
          </a:p>
        </c:txPr>
        <c:crossAx val="407570720"/>
        <c:crosses val="autoZero"/>
        <c:auto val="1"/>
        <c:lblAlgn val="ctr"/>
        <c:lblOffset val="100"/>
        <c:noMultiLvlLbl val="0"/>
      </c:catAx>
      <c:valAx>
        <c:axId val="407570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0756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PEÇAS APROVADAS X PEÇAS REPROVADAS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5D-40A2-AC5D-3B6E65C051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5D-40A2-AC5D-3B6E65C051A5}"/>
              </c:ext>
            </c:extLst>
          </c:dPt>
          <c:cat>
            <c:strRef>
              <c:f>'CONFIGURAÇÃO '!$B$2:$C$2</c:f>
              <c:strCache>
                <c:ptCount val="2"/>
                <c:pt idx="0">
                  <c:v>Aprovado</c:v>
                </c:pt>
                <c:pt idx="1">
                  <c:v>Reprovado</c:v>
                </c:pt>
              </c:strCache>
            </c:strRef>
          </c:cat>
          <c:val>
            <c:numRef>
              <c:f>'CONFIGURAÇÃO '!$B$3:$C$3</c:f>
              <c:numCache>
                <c:formatCode>General</c:formatCode>
                <c:ptCount val="2"/>
                <c:pt idx="0">
                  <c:v>578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04-4738-AC8D-C2B483356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3" Type="http://schemas.openxmlformats.org/officeDocument/2006/relationships/chart" Target="../charts/chart2.xml"/><Relationship Id="rId7" Type="http://schemas.openxmlformats.org/officeDocument/2006/relationships/hyperlink" Target="#'CONFIGURA&#199;&#195;O '!A1"/><Relationship Id="rId12" Type="http://schemas.openxmlformats.org/officeDocument/2006/relationships/hyperlink" Target="#'Indicadores Usinagem'!A1"/><Relationship Id="rId2" Type="http://schemas.openxmlformats.org/officeDocument/2006/relationships/chart" Target="../charts/chart1.xml"/><Relationship Id="rId1" Type="http://schemas.openxmlformats.org/officeDocument/2006/relationships/image" Target="../media/image1.jpeg"/><Relationship Id="rId6" Type="http://schemas.openxmlformats.org/officeDocument/2006/relationships/hyperlink" Target="#Observa&#231;&#245;es!A1"/><Relationship Id="rId11" Type="http://schemas.openxmlformats.org/officeDocument/2006/relationships/image" Target="../media/image5.svg"/><Relationship Id="rId5" Type="http://schemas.openxmlformats.org/officeDocument/2006/relationships/hyperlink" Target="#'PRODUTOS DE REFUGO'!A1"/><Relationship Id="rId10" Type="http://schemas.openxmlformats.org/officeDocument/2006/relationships/image" Target="../media/image4.png"/><Relationship Id="rId4" Type="http://schemas.openxmlformats.org/officeDocument/2006/relationships/hyperlink" Target="#Lan&#231;amentos!A1"/><Relationship Id="rId9" Type="http://schemas.openxmlformats.org/officeDocument/2006/relationships/image" Target="../media/image3.sv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hyperlink" Target="#DASH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hyperlink" Target="#DASH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hyperlink" Target="#DASH!A1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hyperlink" Target="#DASH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DASH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25</xdr:col>
      <xdr:colOff>533400</xdr:colOff>
      <xdr:row>46</xdr:row>
      <xdr:rowOff>66674</xdr:rowOff>
    </xdr:to>
    <xdr:pic>
      <xdr:nvPicPr>
        <xdr:cNvPr id="2" name="Imagem 1" descr="Mectrol HIWIN do Brasil | LinkedI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7678400" cy="83915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60960</xdr:colOff>
      <xdr:row>0</xdr:row>
      <xdr:rowOff>22860</xdr:rowOff>
    </xdr:from>
    <xdr:to>
      <xdr:col>25</xdr:col>
      <xdr:colOff>419100</xdr:colOff>
      <xdr:row>32</xdr:row>
      <xdr:rowOff>83820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0960" y="22860"/>
          <a:ext cx="17503140" cy="5852160"/>
        </a:xfrm>
        <a:prstGeom prst="rect">
          <a:avLst/>
        </a:prstGeom>
        <a:solidFill>
          <a:srgbClr val="156082">
            <a:alpha val="5607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16</xdr:col>
      <xdr:colOff>289560</xdr:colOff>
      <xdr:row>8</xdr:row>
      <xdr:rowOff>31150</xdr:rowOff>
    </xdr:from>
    <xdr:to>
      <xdr:col>23</xdr:col>
      <xdr:colOff>198120</xdr:colOff>
      <xdr:row>31</xdr:row>
      <xdr:rowOff>160020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0043160" y="1494190"/>
          <a:ext cx="4175760" cy="433511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533400</xdr:colOff>
      <xdr:row>3</xdr:row>
      <xdr:rowOff>30480</xdr:rowOff>
    </xdr:from>
    <xdr:to>
      <xdr:col>7</xdr:col>
      <xdr:colOff>22860</xdr:colOff>
      <xdr:row>7</xdr:row>
      <xdr:rowOff>152400</xdr:rowOff>
    </xdr:to>
    <xdr:sp macro="" textlink="'CONFIGURAÇÃO '!G23">
      <xdr:nvSpPr>
        <xdr:cNvPr id="4" name="Retâ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362200" y="579120"/>
          <a:ext cx="1927860" cy="85344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F824B3E-7FE4-4BB8-BAC3-7C20397ECADD}" type="TxLink">
            <a:rPr lang="en-US" sz="1100" b="1" i="0" u="none" strike="noStrike">
              <a:solidFill>
                <a:srgbClr val="000000"/>
              </a:solidFill>
              <a:latin typeface="Aptos Narrow"/>
            </a:rPr>
            <a:pPr algn="ctr"/>
            <a:t>TOTAL DE PEÇAS PRODUZIDAS NO MÊS</a:t>
          </a:fld>
          <a:endParaRPr lang="pt-BR" sz="1100" b="1"/>
        </a:p>
      </xdr:txBody>
    </xdr:sp>
    <xdr:clientData/>
  </xdr:twoCellAnchor>
  <xdr:twoCellAnchor>
    <xdr:from>
      <xdr:col>0</xdr:col>
      <xdr:colOff>137160</xdr:colOff>
      <xdr:row>2</xdr:row>
      <xdr:rowOff>131331</xdr:rowOff>
    </xdr:from>
    <xdr:to>
      <xdr:col>3</xdr:col>
      <xdr:colOff>449580</xdr:colOff>
      <xdr:row>31</xdr:row>
      <xdr:rowOff>137161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37160" y="497091"/>
          <a:ext cx="2141220" cy="530935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7</xdr:col>
      <xdr:colOff>89536</xdr:colOff>
      <xdr:row>3</xdr:row>
      <xdr:rowOff>30480</xdr:rowOff>
    </xdr:from>
    <xdr:to>
      <xdr:col>9</xdr:col>
      <xdr:colOff>488157</xdr:colOff>
      <xdr:row>7</xdr:row>
      <xdr:rowOff>152400</xdr:rowOff>
    </xdr:to>
    <xdr:sp macro="" textlink="'CONFIGURAÇÃO '!I23">
      <xdr:nvSpPr>
        <xdr:cNvPr id="10" name="Retâ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4923474" y="566261"/>
          <a:ext cx="1779746" cy="836295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50B9293-F962-4A77-81BD-D094061A1991}" type="TxLink">
            <a:rPr lang="en-US" sz="1200" b="1" i="0" u="none" strike="noStrike">
              <a:solidFill>
                <a:srgbClr val="000000"/>
              </a:solidFill>
              <a:latin typeface="Aptos Narrow"/>
            </a:rPr>
            <a:pPr algn="ctr"/>
            <a:t>PEÇAS REPROVADAS</a:t>
          </a:fld>
          <a:endParaRPr lang="pt-BR" sz="1200" b="1"/>
        </a:p>
      </xdr:txBody>
    </xdr:sp>
    <xdr:clientData/>
  </xdr:twoCellAnchor>
  <xdr:twoCellAnchor>
    <xdr:from>
      <xdr:col>9</xdr:col>
      <xdr:colOff>560546</xdr:colOff>
      <xdr:row>3</xdr:row>
      <xdr:rowOff>30480</xdr:rowOff>
    </xdr:from>
    <xdr:to>
      <xdr:col>12</xdr:col>
      <xdr:colOff>119062</xdr:colOff>
      <xdr:row>7</xdr:row>
      <xdr:rowOff>152400</xdr:rowOff>
    </xdr:to>
    <xdr:sp macro="" textlink="'CONFIGURAÇÃO '!L23">
      <xdr:nvSpPr>
        <xdr:cNvPr id="11" name="Retâ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6775609" y="566261"/>
          <a:ext cx="1630203" cy="836295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19916ABA-51F6-48AF-990E-FBF3B5BC430A}" type="TxLink">
            <a:rPr lang="en-US" sz="1200" b="1" i="0" u="none" strike="noStrike">
              <a:solidFill>
                <a:srgbClr val="000000"/>
              </a:solidFill>
              <a:latin typeface="Aptos Narrow"/>
            </a:rPr>
            <a:pPr algn="ctr"/>
            <a:t>PEÇAS APROVADAS</a:t>
          </a:fld>
          <a:endParaRPr lang="pt-BR" sz="1200" b="1"/>
        </a:p>
      </xdr:txBody>
    </xdr:sp>
    <xdr:clientData/>
  </xdr:twoCellAnchor>
  <xdr:twoCellAnchor>
    <xdr:from>
      <xdr:col>3</xdr:col>
      <xdr:colOff>525780</xdr:colOff>
      <xdr:row>8</xdr:row>
      <xdr:rowOff>30480</xdr:rowOff>
    </xdr:from>
    <xdr:to>
      <xdr:col>13</xdr:col>
      <xdr:colOff>472440</xdr:colOff>
      <xdr:row>19</xdr:row>
      <xdr:rowOff>129540</xdr:rowOff>
    </xdr:to>
    <xdr:sp macro="" textlink="">
      <xdr:nvSpPr>
        <xdr:cNvPr id="12" name="Retângulo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2354580" y="1493520"/>
          <a:ext cx="6042660" cy="211074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533400</xdr:colOff>
      <xdr:row>20</xdr:row>
      <xdr:rowOff>45720</xdr:rowOff>
    </xdr:from>
    <xdr:to>
      <xdr:col>8</xdr:col>
      <xdr:colOff>320040</xdr:colOff>
      <xdr:row>31</xdr:row>
      <xdr:rowOff>129540</xdr:rowOff>
    </xdr:to>
    <xdr:sp macro="" textlink="">
      <xdr:nvSpPr>
        <xdr:cNvPr id="13" name="Retângulo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2362200" y="3703320"/>
          <a:ext cx="2834640" cy="209550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9</xdr:col>
      <xdr:colOff>76200</xdr:colOff>
      <xdr:row>20</xdr:row>
      <xdr:rowOff>45720</xdr:rowOff>
    </xdr:from>
    <xdr:to>
      <xdr:col>13</xdr:col>
      <xdr:colOff>472440</xdr:colOff>
      <xdr:row>31</xdr:row>
      <xdr:rowOff>129540</xdr:rowOff>
    </xdr:to>
    <xdr:sp macro="" textlink="">
      <xdr:nvSpPr>
        <xdr:cNvPr id="15" name="Retângulo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5562600" y="3703320"/>
          <a:ext cx="2834640" cy="209550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556260</xdr:colOff>
      <xdr:row>2</xdr:row>
      <xdr:rowOff>30480</xdr:rowOff>
    </xdr:from>
    <xdr:to>
      <xdr:col>7</xdr:col>
      <xdr:colOff>7620</xdr:colOff>
      <xdr:row>5</xdr:row>
      <xdr:rowOff>91440</xdr:rowOff>
    </xdr:to>
    <xdr:sp macro="" textlink="$C$38">
      <xdr:nvSpPr>
        <xdr:cNvPr id="18" name="Retângulo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2385060" y="396240"/>
          <a:ext cx="1889760" cy="609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391DABD4-DE56-45FB-B6BA-F4497B5AB5AE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100"/>
        </a:p>
      </xdr:txBody>
    </xdr:sp>
    <xdr:clientData/>
  </xdr:twoCellAnchor>
  <xdr:twoCellAnchor>
    <xdr:from>
      <xdr:col>3</xdr:col>
      <xdr:colOff>533400</xdr:colOff>
      <xdr:row>4</xdr:row>
      <xdr:rowOff>175260</xdr:rowOff>
    </xdr:from>
    <xdr:to>
      <xdr:col>6</xdr:col>
      <xdr:colOff>594360</xdr:colOff>
      <xdr:row>7</xdr:row>
      <xdr:rowOff>76200</xdr:rowOff>
    </xdr:to>
    <xdr:sp macro="" textlink="'CONFIGURAÇÃO '!G24">
      <xdr:nvSpPr>
        <xdr:cNvPr id="19" name="Retângulo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2362200" y="906780"/>
          <a:ext cx="1889760" cy="4495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163A07D-E7F8-4407-BE05-E2D5288456B9}" type="TxLink">
            <a:rPr lang="en-US" sz="2800" b="1" i="0" u="none" strike="noStrike">
              <a:solidFill>
                <a:srgbClr val="000000"/>
              </a:solidFill>
              <a:latin typeface="Aptos Narrow"/>
            </a:rPr>
            <a:pPr algn="ctr"/>
            <a:t>588</a:t>
          </a:fld>
          <a:endParaRPr lang="pt-BR" sz="2800" b="1"/>
        </a:p>
      </xdr:txBody>
    </xdr:sp>
    <xdr:clientData/>
  </xdr:twoCellAnchor>
  <xdr:twoCellAnchor>
    <xdr:from>
      <xdr:col>3</xdr:col>
      <xdr:colOff>525780</xdr:colOff>
      <xdr:row>8</xdr:row>
      <xdr:rowOff>30480</xdr:rowOff>
    </xdr:from>
    <xdr:to>
      <xdr:col>13</xdr:col>
      <xdr:colOff>472440</xdr:colOff>
      <xdr:row>19</xdr:row>
      <xdr:rowOff>106680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533400</xdr:colOff>
      <xdr:row>20</xdr:row>
      <xdr:rowOff>45720</xdr:rowOff>
    </xdr:from>
    <xdr:to>
      <xdr:col>8</xdr:col>
      <xdr:colOff>327660</xdr:colOff>
      <xdr:row>31</xdr:row>
      <xdr:rowOff>137160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126206</xdr:colOff>
      <xdr:row>4</xdr:row>
      <xdr:rowOff>140494</xdr:rowOff>
    </xdr:from>
    <xdr:to>
      <xdr:col>9</xdr:col>
      <xdr:colOff>331946</xdr:colOff>
      <xdr:row>7</xdr:row>
      <xdr:rowOff>33814</xdr:rowOff>
    </xdr:to>
    <xdr:sp macro="" textlink="Lançamentos!P299">
      <xdr:nvSpPr>
        <xdr:cNvPr id="23" name="Retângulo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5650706" y="854869"/>
          <a:ext cx="896303" cy="42910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2A19CFD-1328-4812-B39C-CAD286297483}" type="TxLink">
            <a:rPr lang="en-US" sz="2800" b="1" i="0" u="none" strike="noStrike">
              <a:solidFill>
                <a:srgbClr val="C00000"/>
              </a:solidFill>
              <a:latin typeface="Aptos Narrow"/>
            </a:rPr>
            <a:pPr algn="l"/>
            <a:t>10</a:t>
          </a:fld>
          <a:endParaRPr lang="pt-BR" sz="1800">
            <a:solidFill>
              <a:srgbClr val="C00000"/>
            </a:solidFill>
          </a:endParaRPr>
        </a:p>
      </xdr:txBody>
    </xdr:sp>
    <xdr:clientData/>
  </xdr:twoCellAnchor>
  <xdr:twoCellAnchor>
    <xdr:from>
      <xdr:col>10</xdr:col>
      <xdr:colOff>384811</xdr:colOff>
      <xdr:row>4</xdr:row>
      <xdr:rowOff>128588</xdr:rowOff>
    </xdr:from>
    <xdr:to>
      <xdr:col>11</xdr:col>
      <xdr:colOff>671513</xdr:colOff>
      <xdr:row>7</xdr:row>
      <xdr:rowOff>14288</xdr:rowOff>
    </xdr:to>
    <xdr:sp macro="" textlink="Lançamentos!O299">
      <xdr:nvSpPr>
        <xdr:cNvPr id="24" name="Retângulo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/>
      </xdr:nvSpPr>
      <xdr:spPr>
        <a:xfrm>
          <a:off x="7290436" y="842963"/>
          <a:ext cx="977265" cy="42148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193D657-9693-4E5B-B649-ED548107F865}" type="TxLink">
            <a:rPr lang="en-US" sz="2800" b="1" i="0" u="none" strike="noStrike">
              <a:solidFill>
                <a:srgbClr val="00B050"/>
              </a:solidFill>
              <a:latin typeface="Aptos Narrow"/>
            </a:rPr>
            <a:pPr algn="l"/>
            <a:t>578</a:t>
          </a:fld>
          <a:endParaRPr lang="pt-BR" sz="1800"/>
        </a:p>
      </xdr:txBody>
    </xdr:sp>
    <xdr:clientData/>
  </xdr:twoCellAnchor>
  <xdr:twoCellAnchor>
    <xdr:from>
      <xdr:col>0</xdr:col>
      <xdr:colOff>137160</xdr:colOff>
      <xdr:row>0</xdr:row>
      <xdr:rowOff>53341</xdr:rowOff>
    </xdr:from>
    <xdr:to>
      <xdr:col>23</xdr:col>
      <xdr:colOff>182880</xdr:colOff>
      <xdr:row>2</xdr:row>
      <xdr:rowOff>129541</xdr:rowOff>
    </xdr:to>
    <xdr:sp macro="" textlink="">
      <xdr:nvSpPr>
        <xdr:cNvPr id="25" name="Retângulo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137160" y="53341"/>
          <a:ext cx="14066520" cy="44196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2800" b="1" baseline="0">
              <a:latin typeface="Arial Black" panose="020B0A04020102020204" pitchFamily="34" charset="0"/>
            </a:rPr>
            <a:t> CONTROLE DE QUALIDADE</a:t>
          </a:r>
          <a:endParaRPr lang="pt-BR" sz="2800" b="1">
            <a:latin typeface="Arial Black" panose="020B0A04020102020204" pitchFamily="34" charset="0"/>
          </a:endParaRPr>
        </a:p>
      </xdr:txBody>
    </xdr:sp>
    <xdr:clientData/>
  </xdr:twoCellAnchor>
  <xdr:twoCellAnchor>
    <xdr:from>
      <xdr:col>16</xdr:col>
      <xdr:colOff>289560</xdr:colOff>
      <xdr:row>8</xdr:row>
      <xdr:rowOff>30480</xdr:rowOff>
    </xdr:from>
    <xdr:to>
      <xdr:col>23</xdr:col>
      <xdr:colOff>198120</xdr:colOff>
      <xdr:row>9</xdr:row>
      <xdr:rowOff>99060</xdr:rowOff>
    </xdr:to>
    <xdr:sp macro="" textlink="">
      <xdr:nvSpPr>
        <xdr:cNvPr id="27" name="Retângulo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/>
      </xdr:nvSpPr>
      <xdr:spPr>
        <a:xfrm>
          <a:off x="10043160" y="1493520"/>
          <a:ext cx="4175760" cy="25146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>
              <a:latin typeface="Arial Black" panose="020B0A04020102020204" pitchFamily="34" charset="0"/>
            </a:rPr>
            <a:t>OBSERVAÇÃO</a:t>
          </a:r>
          <a:endParaRPr lang="pt-BR" sz="2800" b="1">
            <a:latin typeface="Arial Black" panose="020B0A04020102020204" pitchFamily="34" charset="0"/>
          </a:endParaRPr>
        </a:p>
      </xdr:txBody>
    </xdr:sp>
    <xdr:clientData/>
  </xdr:twoCellAnchor>
  <xdr:twoCellAnchor>
    <xdr:from>
      <xdr:col>13</xdr:col>
      <xdr:colOff>518160</xdr:colOff>
      <xdr:row>8</xdr:row>
      <xdr:rowOff>30480</xdr:rowOff>
    </xdr:from>
    <xdr:to>
      <xdr:col>16</xdr:col>
      <xdr:colOff>228600</xdr:colOff>
      <xdr:row>12</xdr:row>
      <xdr:rowOff>129540</xdr:rowOff>
    </xdr:to>
    <xdr:sp macro="" textlink="">
      <xdr:nvSpPr>
        <xdr:cNvPr id="28" name="Retângulo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8442960" y="1493520"/>
          <a:ext cx="1539240" cy="83058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 b="1"/>
            <a:t>PERCENTUAL APROVAÇÃO</a:t>
          </a:r>
          <a:r>
            <a:rPr lang="pt-BR" sz="1000" b="1" baseline="0"/>
            <a:t> DIRETA</a:t>
          </a:r>
          <a:endParaRPr lang="pt-BR" sz="1000" b="1"/>
        </a:p>
      </xdr:txBody>
    </xdr:sp>
    <xdr:clientData/>
  </xdr:twoCellAnchor>
  <xdr:twoCellAnchor>
    <xdr:from>
      <xdr:col>13</xdr:col>
      <xdr:colOff>525780</xdr:colOff>
      <xdr:row>13</xdr:row>
      <xdr:rowOff>30480</xdr:rowOff>
    </xdr:from>
    <xdr:to>
      <xdr:col>16</xdr:col>
      <xdr:colOff>236220</xdr:colOff>
      <xdr:row>17</xdr:row>
      <xdr:rowOff>129540</xdr:rowOff>
    </xdr:to>
    <xdr:sp macro="" textlink="">
      <xdr:nvSpPr>
        <xdr:cNvPr id="32" name="Retângulo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/>
      </xdr:nvSpPr>
      <xdr:spPr>
        <a:xfrm>
          <a:off x="8450580" y="2407920"/>
          <a:ext cx="1539240" cy="83058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 b="1"/>
            <a:t>PERCENTUAL DE </a:t>
          </a:r>
          <a:r>
            <a:rPr lang="pt-BR" sz="1050" b="1"/>
            <a:t>PEÇAS</a:t>
          </a:r>
          <a:r>
            <a:rPr lang="pt-BR" sz="1050" b="1" baseline="0"/>
            <a:t> MORTAS</a:t>
          </a:r>
        </a:p>
        <a:p>
          <a:pPr algn="ctr"/>
          <a:endParaRPr lang="pt-BR" sz="1000" b="1"/>
        </a:p>
      </xdr:txBody>
    </xdr:sp>
    <xdr:clientData/>
  </xdr:twoCellAnchor>
  <xdr:twoCellAnchor>
    <xdr:from>
      <xdr:col>13</xdr:col>
      <xdr:colOff>533400</xdr:colOff>
      <xdr:row>18</xdr:row>
      <xdr:rowOff>15240</xdr:rowOff>
    </xdr:from>
    <xdr:to>
      <xdr:col>16</xdr:col>
      <xdr:colOff>243840</xdr:colOff>
      <xdr:row>22</xdr:row>
      <xdr:rowOff>114300</xdr:rowOff>
    </xdr:to>
    <xdr:sp macro="" textlink="">
      <xdr:nvSpPr>
        <xdr:cNvPr id="33" name="Retângulo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8458200" y="3307080"/>
          <a:ext cx="1539240" cy="83058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 b="1"/>
            <a:t>PERCENTUAL DE RETRABALHO</a:t>
          </a:r>
        </a:p>
        <a:p>
          <a:pPr algn="ctr"/>
          <a:endParaRPr lang="pt-BR" sz="1000" b="1"/>
        </a:p>
      </xdr:txBody>
    </xdr:sp>
    <xdr:clientData/>
  </xdr:twoCellAnchor>
  <xdr:twoCellAnchor>
    <xdr:from>
      <xdr:col>14</xdr:col>
      <xdr:colOff>390525</xdr:colOff>
      <xdr:row>10</xdr:row>
      <xdr:rowOff>15240</xdr:rowOff>
    </xdr:from>
    <xdr:to>
      <xdr:col>16</xdr:col>
      <xdr:colOff>190500</xdr:colOff>
      <xdr:row>12</xdr:row>
      <xdr:rowOff>91440</xdr:rowOff>
    </xdr:to>
    <xdr:sp macro="" textlink="'CONFIGURAÇÃO '!Q23">
      <xdr:nvSpPr>
        <xdr:cNvPr id="37" name="Retângulo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/>
      </xdr:nvSpPr>
      <xdr:spPr>
        <a:xfrm>
          <a:off x="9991725" y="1824990"/>
          <a:ext cx="1171575" cy="4381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FEA34328-9CB4-4BA7-8E40-803CC28D47DD}" type="TxLink">
            <a:rPr lang="en-US" sz="1600" b="1" i="0" u="none" strike="noStrike">
              <a:solidFill>
                <a:srgbClr val="000000"/>
              </a:solidFill>
              <a:latin typeface="Aptos Narrow"/>
            </a:rPr>
            <a:pPr algn="l"/>
            <a:t>98,299%</a:t>
          </a:fld>
          <a:endParaRPr lang="pt-BR" sz="1600" b="1"/>
        </a:p>
      </xdr:txBody>
    </xdr:sp>
    <xdr:clientData/>
  </xdr:twoCellAnchor>
  <xdr:twoCellAnchor>
    <xdr:from>
      <xdr:col>14</xdr:col>
      <xdr:colOff>434340</xdr:colOff>
      <xdr:row>15</xdr:row>
      <xdr:rowOff>30480</xdr:rowOff>
    </xdr:from>
    <xdr:to>
      <xdr:col>16</xdr:col>
      <xdr:colOff>190500</xdr:colOff>
      <xdr:row>17</xdr:row>
      <xdr:rowOff>106680</xdr:rowOff>
    </xdr:to>
    <xdr:sp macro="" textlink="'CONFIGURAÇÃO '!Q24">
      <xdr:nvSpPr>
        <xdr:cNvPr id="38" name="Retângulo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8968740" y="2773680"/>
          <a:ext cx="975360" cy="4419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59DCE54-4587-4ED9-B695-091AAB55113D}" type="TxLink">
            <a:rPr lang="en-US" sz="1600" b="1" i="0" u="none" strike="noStrike">
              <a:solidFill>
                <a:srgbClr val="000000"/>
              </a:solidFill>
              <a:latin typeface="Aptos Narrow"/>
            </a:rPr>
            <a:pPr algn="l"/>
            <a:t>0,680%</a:t>
          </a:fld>
          <a:endParaRPr lang="pt-BR" sz="1600" b="1"/>
        </a:p>
      </xdr:txBody>
    </xdr:sp>
    <xdr:clientData/>
  </xdr:twoCellAnchor>
  <xdr:twoCellAnchor>
    <xdr:from>
      <xdr:col>14</xdr:col>
      <xdr:colOff>434340</xdr:colOff>
      <xdr:row>20</xdr:row>
      <xdr:rowOff>22860</xdr:rowOff>
    </xdr:from>
    <xdr:to>
      <xdr:col>16</xdr:col>
      <xdr:colOff>190500</xdr:colOff>
      <xdr:row>22</xdr:row>
      <xdr:rowOff>99060</xdr:rowOff>
    </xdr:to>
    <xdr:sp macro="" textlink="'CONFIGURAÇÃO '!Q25">
      <xdr:nvSpPr>
        <xdr:cNvPr id="39" name="Retângulo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8968740" y="3680460"/>
          <a:ext cx="975360" cy="4419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AEFE07A-3116-4CA5-9853-CD5D346EB969}" type="TxLink">
            <a:rPr lang="en-US" sz="1600" b="1" i="0" u="none" strike="noStrike">
              <a:solidFill>
                <a:srgbClr val="000000"/>
              </a:solidFill>
              <a:latin typeface="Aptos Narrow"/>
            </a:rPr>
            <a:pPr algn="l"/>
            <a:t>1,020%</a:t>
          </a:fld>
          <a:endParaRPr lang="pt-BR" sz="1600" b="1"/>
        </a:p>
      </xdr:txBody>
    </xdr:sp>
    <xdr:clientData/>
  </xdr:twoCellAnchor>
  <xdr:twoCellAnchor>
    <xdr:from>
      <xdr:col>0</xdr:col>
      <xdr:colOff>144780</xdr:colOff>
      <xdr:row>2</xdr:row>
      <xdr:rowOff>129540</xdr:rowOff>
    </xdr:from>
    <xdr:to>
      <xdr:col>3</xdr:col>
      <xdr:colOff>449580</xdr:colOff>
      <xdr:row>5</xdr:row>
      <xdr:rowOff>173470</xdr:rowOff>
    </xdr:to>
    <xdr:sp macro="" textlink="">
      <xdr:nvSpPr>
        <xdr:cNvPr id="41" name="Fluxograma: Fita Perfurada 4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144780" y="495300"/>
          <a:ext cx="2133600" cy="592570"/>
        </a:xfrm>
        <a:prstGeom prst="flowChartPunchedTape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600" b="1"/>
            <a:t>LANÇAMENTOS</a:t>
          </a:r>
        </a:p>
      </xdr:txBody>
    </xdr:sp>
    <xdr:clientData/>
  </xdr:twoCellAnchor>
  <xdr:twoCellAnchor>
    <xdr:from>
      <xdr:col>0</xdr:col>
      <xdr:colOff>152400</xdr:colOff>
      <xdr:row>5</xdr:row>
      <xdr:rowOff>15240</xdr:rowOff>
    </xdr:from>
    <xdr:to>
      <xdr:col>3</xdr:col>
      <xdr:colOff>457200</xdr:colOff>
      <xdr:row>8</xdr:row>
      <xdr:rowOff>59170</xdr:rowOff>
    </xdr:to>
    <xdr:sp macro="" textlink="">
      <xdr:nvSpPr>
        <xdr:cNvPr id="42" name="Fluxograma: Fita Perfurada 4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152400" y="929640"/>
          <a:ext cx="2133600" cy="592570"/>
        </a:xfrm>
        <a:prstGeom prst="flowChartPunchedTape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600" b="1"/>
            <a:t> REFUGO</a:t>
          </a:r>
        </a:p>
      </xdr:txBody>
    </xdr:sp>
    <xdr:clientData/>
  </xdr:twoCellAnchor>
  <xdr:twoCellAnchor>
    <xdr:from>
      <xdr:col>0</xdr:col>
      <xdr:colOff>152400</xdr:colOff>
      <xdr:row>7</xdr:row>
      <xdr:rowOff>116091</xdr:rowOff>
    </xdr:from>
    <xdr:to>
      <xdr:col>3</xdr:col>
      <xdr:colOff>457200</xdr:colOff>
      <xdr:row>10</xdr:row>
      <xdr:rowOff>160021</xdr:rowOff>
    </xdr:to>
    <xdr:sp macro="" textlink="">
      <xdr:nvSpPr>
        <xdr:cNvPr id="43" name="Fluxograma: Fita Perfurada 4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/>
      </xdr:nvSpPr>
      <xdr:spPr>
        <a:xfrm>
          <a:off x="152400" y="1396251"/>
          <a:ext cx="2133600" cy="592570"/>
        </a:xfrm>
        <a:prstGeom prst="flowChartPunchedTape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600" b="1"/>
            <a:t>OBSERVAÇÕES</a:t>
          </a:r>
        </a:p>
      </xdr:txBody>
    </xdr:sp>
    <xdr:clientData/>
  </xdr:twoCellAnchor>
  <xdr:twoCellAnchor>
    <xdr:from>
      <xdr:col>0</xdr:col>
      <xdr:colOff>152400</xdr:colOff>
      <xdr:row>10</xdr:row>
      <xdr:rowOff>55131</xdr:rowOff>
    </xdr:from>
    <xdr:to>
      <xdr:col>3</xdr:col>
      <xdr:colOff>457200</xdr:colOff>
      <xdr:row>13</xdr:row>
      <xdr:rowOff>99061</xdr:rowOff>
    </xdr:to>
    <xdr:sp macro="" textlink="">
      <xdr:nvSpPr>
        <xdr:cNvPr id="44" name="Fluxograma: Fita Perfurada 4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/>
      </xdr:nvSpPr>
      <xdr:spPr>
        <a:xfrm>
          <a:off x="152400" y="1883931"/>
          <a:ext cx="2133600" cy="592570"/>
        </a:xfrm>
        <a:prstGeom prst="flowChartPunchedTape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600" b="1"/>
            <a:t>CONFIGURAÇÕES</a:t>
          </a:r>
        </a:p>
      </xdr:txBody>
    </xdr:sp>
    <xdr:clientData/>
  </xdr:twoCellAnchor>
  <xdr:twoCellAnchor editAs="oneCell">
    <xdr:from>
      <xdr:col>2</xdr:col>
      <xdr:colOff>586740</xdr:colOff>
      <xdr:row>8</xdr:row>
      <xdr:rowOff>7620</xdr:rowOff>
    </xdr:from>
    <xdr:to>
      <xdr:col>3</xdr:col>
      <xdr:colOff>373380</xdr:colOff>
      <xdr:row>10</xdr:row>
      <xdr:rowOff>38100</xdr:rowOff>
    </xdr:to>
    <xdr:pic>
      <xdr:nvPicPr>
        <xdr:cNvPr id="46" name="Gráfico 45" descr="Documento com preenchimento sólido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805940" y="1470660"/>
          <a:ext cx="396240" cy="396240"/>
        </a:xfrm>
        <a:prstGeom prst="rect">
          <a:avLst/>
        </a:prstGeom>
      </xdr:spPr>
    </xdr:pic>
    <xdr:clientData/>
  </xdr:twoCellAnchor>
  <xdr:twoCellAnchor editAs="oneCell">
    <xdr:from>
      <xdr:col>3</xdr:col>
      <xdr:colOff>7620</xdr:colOff>
      <xdr:row>10</xdr:row>
      <xdr:rowOff>152400</xdr:rowOff>
    </xdr:from>
    <xdr:to>
      <xdr:col>3</xdr:col>
      <xdr:colOff>320040</xdr:colOff>
      <xdr:row>12</xdr:row>
      <xdr:rowOff>99060</xdr:rowOff>
    </xdr:to>
    <xdr:pic>
      <xdr:nvPicPr>
        <xdr:cNvPr id="48" name="Gráfico 47" descr="Ferramentas com preenchimento sólido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1836420" y="1981200"/>
          <a:ext cx="312420" cy="312420"/>
        </a:xfrm>
        <a:prstGeom prst="rect">
          <a:avLst/>
        </a:prstGeom>
      </xdr:spPr>
    </xdr:pic>
    <xdr:clientData/>
  </xdr:twoCellAnchor>
  <xdr:twoCellAnchor>
    <xdr:from>
      <xdr:col>16</xdr:col>
      <xdr:colOff>297180</xdr:colOff>
      <xdr:row>9</xdr:row>
      <xdr:rowOff>114300</xdr:rowOff>
    </xdr:from>
    <xdr:to>
      <xdr:col>23</xdr:col>
      <xdr:colOff>190500</xdr:colOff>
      <xdr:row>10</xdr:row>
      <xdr:rowOff>144780</xdr:rowOff>
    </xdr:to>
    <xdr:sp macro="" textlink="Observações!C3">
      <xdr:nvSpPr>
        <xdr:cNvPr id="49" name="Retângulo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/>
      </xdr:nvSpPr>
      <xdr:spPr>
        <a:xfrm>
          <a:off x="10050780" y="176022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F34E098E-AE34-4C70-A505-00CBFD49459A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FUNDIÇÃO VENANCIO - PORCA CALIBRADORA NÃO CHEGOU ATE O FINAL. FOI REPASSADO NO TORNO</a:t>
          </a:fld>
          <a:endParaRPr lang="pt-BR" sz="1100"/>
        </a:p>
      </xdr:txBody>
    </xdr:sp>
    <xdr:clientData/>
  </xdr:twoCellAnchor>
  <xdr:twoCellAnchor>
    <xdr:from>
      <xdr:col>16</xdr:col>
      <xdr:colOff>297180</xdr:colOff>
      <xdr:row>12</xdr:row>
      <xdr:rowOff>7620</xdr:rowOff>
    </xdr:from>
    <xdr:to>
      <xdr:col>23</xdr:col>
      <xdr:colOff>190500</xdr:colOff>
      <xdr:row>13</xdr:row>
      <xdr:rowOff>38100</xdr:rowOff>
    </xdr:to>
    <xdr:sp macro="" textlink="Observações!C5">
      <xdr:nvSpPr>
        <xdr:cNvPr id="51" name="Retângulo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/>
      </xdr:nvSpPr>
      <xdr:spPr>
        <a:xfrm>
          <a:off x="10050780" y="220218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C5D8347-30D2-45EC-AB21-CE44C988D75A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METALURGICA RIOSULENSE-PORCA PASSA NÃO ESTÁ PASSANDO.FOI REPASSADO NO TORNO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13</xdr:row>
      <xdr:rowOff>53340</xdr:rowOff>
    </xdr:from>
    <xdr:to>
      <xdr:col>23</xdr:col>
      <xdr:colOff>198120</xdr:colOff>
      <xdr:row>14</xdr:row>
      <xdr:rowOff>83820</xdr:rowOff>
    </xdr:to>
    <xdr:sp macro="" textlink="Observações!C6">
      <xdr:nvSpPr>
        <xdr:cNvPr id="52" name="Retângulo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/>
      </xdr:nvSpPr>
      <xdr:spPr>
        <a:xfrm>
          <a:off x="10058400" y="243078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F578D25-88CE-47B9-93F6-DC63FA56988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NO MOVIMENTO DA TORRE, A FERRAMENTA ACABOU  MATANDO A PEÇA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14</xdr:row>
      <xdr:rowOff>99060</xdr:rowOff>
    </xdr:from>
    <xdr:to>
      <xdr:col>23</xdr:col>
      <xdr:colOff>198120</xdr:colOff>
      <xdr:row>15</xdr:row>
      <xdr:rowOff>129540</xdr:rowOff>
    </xdr:to>
    <xdr:sp macro="" textlink="Observações!C7">
      <xdr:nvSpPr>
        <xdr:cNvPr id="53" name="Retângulo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/>
      </xdr:nvSpPr>
      <xdr:spPr>
        <a:xfrm>
          <a:off x="10058400" y="265938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7D7ECBB0-7FDC-4703-825E-C11B61A2514F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APERAM - 04727001002 - OPERADOR CONFUNDIU A TOLERANCIA DA MEDIDA E FICOU MENOR.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15</xdr:row>
      <xdr:rowOff>121920</xdr:rowOff>
    </xdr:from>
    <xdr:to>
      <xdr:col>23</xdr:col>
      <xdr:colOff>198120</xdr:colOff>
      <xdr:row>16</xdr:row>
      <xdr:rowOff>152400</xdr:rowOff>
    </xdr:to>
    <xdr:sp macro="" textlink="Observações!C8">
      <xdr:nvSpPr>
        <xdr:cNvPr id="54" name="Retângulo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/>
      </xdr:nvSpPr>
      <xdr:spPr>
        <a:xfrm>
          <a:off x="10058400" y="286512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F019113-68A3-4F12-AEB3-9D01314DB770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6</a:t>
          </a:fld>
          <a:endParaRPr lang="pt-BR" sz="1100"/>
        </a:p>
      </xdr:txBody>
    </xdr:sp>
    <xdr:clientData/>
  </xdr:twoCellAnchor>
  <xdr:twoCellAnchor>
    <xdr:from>
      <xdr:col>16</xdr:col>
      <xdr:colOff>297180</xdr:colOff>
      <xdr:row>16</xdr:row>
      <xdr:rowOff>167640</xdr:rowOff>
    </xdr:from>
    <xdr:to>
      <xdr:col>23</xdr:col>
      <xdr:colOff>190500</xdr:colOff>
      <xdr:row>18</xdr:row>
      <xdr:rowOff>15240</xdr:rowOff>
    </xdr:to>
    <xdr:sp macro="" textlink="Observações!C9">
      <xdr:nvSpPr>
        <xdr:cNvPr id="55" name="Retângulo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/>
      </xdr:nvSpPr>
      <xdr:spPr>
        <a:xfrm>
          <a:off x="10050780" y="309372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4536F38-4E90-4AC9-BF58-CBEE39683F3E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7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18</xdr:row>
      <xdr:rowOff>22860</xdr:rowOff>
    </xdr:from>
    <xdr:to>
      <xdr:col>23</xdr:col>
      <xdr:colOff>198120</xdr:colOff>
      <xdr:row>19</xdr:row>
      <xdr:rowOff>53340</xdr:rowOff>
    </xdr:to>
    <xdr:sp macro="" textlink="Observações!C10">
      <xdr:nvSpPr>
        <xdr:cNvPr id="56" name="Retângulo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/>
      </xdr:nvSpPr>
      <xdr:spPr>
        <a:xfrm>
          <a:off x="10058400" y="331470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5E0089DA-93F9-4C19-8BD7-91F20339835C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8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19</xdr:row>
      <xdr:rowOff>53340</xdr:rowOff>
    </xdr:from>
    <xdr:to>
      <xdr:col>23</xdr:col>
      <xdr:colOff>198120</xdr:colOff>
      <xdr:row>20</xdr:row>
      <xdr:rowOff>83820</xdr:rowOff>
    </xdr:to>
    <xdr:sp macro="" textlink="Observações!C11">
      <xdr:nvSpPr>
        <xdr:cNvPr id="57" name="Retângulo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/>
      </xdr:nvSpPr>
      <xdr:spPr>
        <a:xfrm>
          <a:off x="10058400" y="352806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F4E95D87-048D-4D25-A55E-879179C2CA76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9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20</xdr:row>
      <xdr:rowOff>91440</xdr:rowOff>
    </xdr:from>
    <xdr:to>
      <xdr:col>23</xdr:col>
      <xdr:colOff>198120</xdr:colOff>
      <xdr:row>21</xdr:row>
      <xdr:rowOff>121920</xdr:rowOff>
    </xdr:to>
    <xdr:sp macro="" textlink="Observações!C12">
      <xdr:nvSpPr>
        <xdr:cNvPr id="60" name="Retângulo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/>
      </xdr:nvSpPr>
      <xdr:spPr>
        <a:xfrm>
          <a:off x="10058400" y="374904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C393F4B-6DA4-4DFE-9A69-D272C756F79F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10</a:t>
          </a:fld>
          <a:endParaRPr lang="pt-BR" sz="1100"/>
        </a:p>
      </xdr:txBody>
    </xdr:sp>
    <xdr:clientData/>
  </xdr:twoCellAnchor>
  <xdr:twoCellAnchor>
    <xdr:from>
      <xdr:col>16</xdr:col>
      <xdr:colOff>297180</xdr:colOff>
      <xdr:row>22</xdr:row>
      <xdr:rowOff>167640</xdr:rowOff>
    </xdr:from>
    <xdr:to>
      <xdr:col>23</xdr:col>
      <xdr:colOff>190500</xdr:colOff>
      <xdr:row>24</xdr:row>
      <xdr:rowOff>15240</xdr:rowOff>
    </xdr:to>
    <xdr:sp macro="" textlink="Observações!C14">
      <xdr:nvSpPr>
        <xdr:cNvPr id="62" name="Retângulo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/>
      </xdr:nvSpPr>
      <xdr:spPr>
        <a:xfrm>
          <a:off x="10050780" y="419100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56F349F2-A153-4D9F-8074-372D1FAD6AF4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12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24</xdr:row>
      <xdr:rowOff>30480</xdr:rowOff>
    </xdr:from>
    <xdr:to>
      <xdr:col>23</xdr:col>
      <xdr:colOff>198120</xdr:colOff>
      <xdr:row>25</xdr:row>
      <xdr:rowOff>60960</xdr:rowOff>
    </xdr:to>
    <xdr:sp macro="" textlink="Observações!C15">
      <xdr:nvSpPr>
        <xdr:cNvPr id="63" name="Retângulo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/>
      </xdr:nvSpPr>
      <xdr:spPr>
        <a:xfrm>
          <a:off x="10058400" y="441960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DB2060B-A917-42AA-8041-5216060701FF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13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25</xdr:row>
      <xdr:rowOff>76200</xdr:rowOff>
    </xdr:from>
    <xdr:to>
      <xdr:col>23</xdr:col>
      <xdr:colOff>198120</xdr:colOff>
      <xdr:row>26</xdr:row>
      <xdr:rowOff>106680</xdr:rowOff>
    </xdr:to>
    <xdr:sp macro="" textlink="Observações!C16">
      <xdr:nvSpPr>
        <xdr:cNvPr id="64" name="Retângulo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/>
      </xdr:nvSpPr>
      <xdr:spPr>
        <a:xfrm>
          <a:off x="10058400" y="464820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8154B8C-BF93-4DEC-8F11-780CD4D82FB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14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26</xdr:row>
      <xdr:rowOff>106680</xdr:rowOff>
    </xdr:from>
    <xdr:to>
      <xdr:col>23</xdr:col>
      <xdr:colOff>198120</xdr:colOff>
      <xdr:row>27</xdr:row>
      <xdr:rowOff>137160</xdr:rowOff>
    </xdr:to>
    <xdr:sp macro="" textlink="Observações!C17">
      <xdr:nvSpPr>
        <xdr:cNvPr id="65" name="Retângulo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/>
      </xdr:nvSpPr>
      <xdr:spPr>
        <a:xfrm>
          <a:off x="10058400" y="486156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B30D870-7463-4D75-8106-074AADDA71BD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15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27</xdr:row>
      <xdr:rowOff>121920</xdr:rowOff>
    </xdr:from>
    <xdr:to>
      <xdr:col>23</xdr:col>
      <xdr:colOff>198120</xdr:colOff>
      <xdr:row>28</xdr:row>
      <xdr:rowOff>152400</xdr:rowOff>
    </xdr:to>
    <xdr:sp macro="" textlink="">
      <xdr:nvSpPr>
        <xdr:cNvPr id="66" name="Retângulo 65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/>
      </xdr:nvSpPr>
      <xdr:spPr>
        <a:xfrm>
          <a:off x="10058400" y="505968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16</xdr:col>
      <xdr:colOff>304800</xdr:colOff>
      <xdr:row>28</xdr:row>
      <xdr:rowOff>160020</xdr:rowOff>
    </xdr:from>
    <xdr:to>
      <xdr:col>23</xdr:col>
      <xdr:colOff>198120</xdr:colOff>
      <xdr:row>30</xdr:row>
      <xdr:rowOff>7620</xdr:rowOff>
    </xdr:to>
    <xdr:sp macro="" textlink="">
      <xdr:nvSpPr>
        <xdr:cNvPr id="67" name="Retângulo 66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/>
      </xdr:nvSpPr>
      <xdr:spPr>
        <a:xfrm>
          <a:off x="10058400" y="528066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16</xdr:col>
      <xdr:colOff>304800</xdr:colOff>
      <xdr:row>30</xdr:row>
      <xdr:rowOff>15240</xdr:rowOff>
    </xdr:from>
    <xdr:to>
      <xdr:col>23</xdr:col>
      <xdr:colOff>198120</xdr:colOff>
      <xdr:row>31</xdr:row>
      <xdr:rowOff>45720</xdr:rowOff>
    </xdr:to>
    <xdr:sp macro="" textlink="">
      <xdr:nvSpPr>
        <xdr:cNvPr id="68" name="Retângulo 67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/>
      </xdr:nvSpPr>
      <xdr:spPr>
        <a:xfrm>
          <a:off x="10058400" y="550164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16</xdr:col>
      <xdr:colOff>304800</xdr:colOff>
      <xdr:row>21</xdr:row>
      <xdr:rowOff>121920</xdr:rowOff>
    </xdr:from>
    <xdr:to>
      <xdr:col>23</xdr:col>
      <xdr:colOff>198120</xdr:colOff>
      <xdr:row>22</xdr:row>
      <xdr:rowOff>152400</xdr:rowOff>
    </xdr:to>
    <xdr:sp macro="" textlink="Observações!C13">
      <xdr:nvSpPr>
        <xdr:cNvPr id="69" name="Retângulo 68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/>
      </xdr:nvSpPr>
      <xdr:spPr>
        <a:xfrm>
          <a:off x="10058400" y="396240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5B25028A-1E28-4900-9A84-89BD0EE3E6DD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11</a:t>
          </a:fld>
          <a:endParaRPr lang="pt-BR" sz="1100"/>
        </a:p>
      </xdr:txBody>
    </xdr:sp>
    <xdr:clientData/>
  </xdr:twoCellAnchor>
  <xdr:twoCellAnchor>
    <xdr:from>
      <xdr:col>16</xdr:col>
      <xdr:colOff>304800</xdr:colOff>
      <xdr:row>10</xdr:row>
      <xdr:rowOff>144780</xdr:rowOff>
    </xdr:from>
    <xdr:to>
      <xdr:col>23</xdr:col>
      <xdr:colOff>198120</xdr:colOff>
      <xdr:row>11</xdr:row>
      <xdr:rowOff>175260</xdr:rowOff>
    </xdr:to>
    <xdr:sp macro="" textlink="Observações!C4">
      <xdr:nvSpPr>
        <xdr:cNvPr id="70" name="Retângulo 69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/>
      </xdr:nvSpPr>
      <xdr:spPr>
        <a:xfrm>
          <a:off x="10058400" y="1973580"/>
          <a:ext cx="4160520" cy="2133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521D4EF-0676-400A-B043-37A7ED7570AE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l"/>
            <a:t>OMR - 04731301001 - MORREU NO DESBASTE, PASTILHA VIROU E DEIXOU A MEDIDA MENOR</a:t>
          </a:fld>
          <a:endParaRPr lang="pt-BR" sz="1100"/>
        </a:p>
      </xdr:txBody>
    </xdr:sp>
    <xdr:clientData/>
  </xdr:twoCellAnchor>
  <xdr:twoCellAnchor>
    <xdr:from>
      <xdr:col>13</xdr:col>
      <xdr:colOff>533400</xdr:colOff>
      <xdr:row>22</xdr:row>
      <xdr:rowOff>163830</xdr:rowOff>
    </xdr:from>
    <xdr:to>
      <xdr:col>16</xdr:col>
      <xdr:colOff>243840</xdr:colOff>
      <xdr:row>27</xdr:row>
      <xdr:rowOff>81915</xdr:rowOff>
    </xdr:to>
    <xdr:sp macro="" textlink="">
      <xdr:nvSpPr>
        <xdr:cNvPr id="50" name="Retângulo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9448800" y="4145280"/>
          <a:ext cx="1767840" cy="822960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 b="1"/>
            <a:t>APROVAÇÃO</a:t>
          </a:r>
          <a:r>
            <a:rPr lang="pt-BR" sz="1000" b="1" baseline="0"/>
            <a:t> DIRETA + RETRABALHO</a:t>
          </a:r>
          <a:endParaRPr lang="pt-BR" sz="1000" b="1"/>
        </a:p>
      </xdr:txBody>
    </xdr:sp>
    <xdr:clientData/>
  </xdr:twoCellAnchor>
  <xdr:twoCellAnchor>
    <xdr:from>
      <xdr:col>14</xdr:col>
      <xdr:colOff>472440</xdr:colOff>
      <xdr:row>25</xdr:row>
      <xdr:rowOff>99060</xdr:rowOff>
    </xdr:from>
    <xdr:to>
      <xdr:col>16</xdr:col>
      <xdr:colOff>228600</xdr:colOff>
      <xdr:row>27</xdr:row>
      <xdr:rowOff>175260</xdr:rowOff>
    </xdr:to>
    <xdr:sp macro="" textlink="'CONFIGURAÇÃO '!Q26">
      <xdr:nvSpPr>
        <xdr:cNvPr id="58" name="Retângulo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/>
      </xdr:nvSpPr>
      <xdr:spPr>
        <a:xfrm>
          <a:off x="10073640" y="4623435"/>
          <a:ext cx="1127760" cy="4381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fld id="{2B16AD49-D23A-488D-B9C1-CFC99D907E72}" type="TxLink">
            <a:rPr lang="en-US" sz="1600" b="1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 algn="l"/>
            <a:t>99,320%</a:t>
          </a:fld>
          <a:endParaRPr lang="pt-BR" sz="1600" b="1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184309</xdr:colOff>
      <xdr:row>3</xdr:row>
      <xdr:rowOff>38576</xdr:rowOff>
    </xdr:from>
    <xdr:to>
      <xdr:col>15</xdr:col>
      <xdr:colOff>130968</xdr:colOff>
      <xdr:row>7</xdr:row>
      <xdr:rowOff>160496</xdr:rowOff>
    </xdr:to>
    <xdr:sp macro="" textlink="">
      <xdr:nvSpPr>
        <xdr:cNvPr id="59" name="Retângulo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/>
      </xdr:nvSpPr>
      <xdr:spPr>
        <a:xfrm>
          <a:off x="8471059" y="574357"/>
          <a:ext cx="2018347" cy="836295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 i="0" u="none" strike="noStrike">
              <a:solidFill>
                <a:srgbClr val="000000"/>
              </a:solidFill>
              <a:latin typeface="Aptos Narrow"/>
            </a:rPr>
            <a:t>TOTAL DE RETRABALHO</a:t>
          </a:r>
          <a:r>
            <a:rPr lang="en-US" sz="1200" b="1" i="0" u="none" strike="noStrike" baseline="0">
              <a:solidFill>
                <a:srgbClr val="000000"/>
              </a:solidFill>
              <a:latin typeface="Aptos Narrow"/>
            </a:rPr>
            <a:t>S USINAGEM</a:t>
          </a:r>
          <a:endParaRPr lang="en-US" sz="1200" b="1" i="0" u="none" strike="noStrike">
            <a:solidFill>
              <a:srgbClr val="000000"/>
            </a:solidFill>
            <a:latin typeface="Aptos Narrow"/>
          </a:endParaRPr>
        </a:p>
      </xdr:txBody>
    </xdr:sp>
    <xdr:clientData/>
  </xdr:twoCellAnchor>
  <xdr:twoCellAnchor>
    <xdr:from>
      <xdr:col>15</xdr:col>
      <xdr:colOff>189073</xdr:colOff>
      <xdr:row>3</xdr:row>
      <xdr:rowOff>38576</xdr:rowOff>
    </xdr:from>
    <xdr:to>
      <xdr:col>17</xdr:col>
      <xdr:colOff>476250</xdr:colOff>
      <xdr:row>7</xdr:row>
      <xdr:rowOff>160496</xdr:rowOff>
    </xdr:to>
    <xdr:sp macro="" textlink="">
      <xdr:nvSpPr>
        <xdr:cNvPr id="61" name="Retângulo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/>
      </xdr:nvSpPr>
      <xdr:spPr>
        <a:xfrm>
          <a:off x="10547511" y="574357"/>
          <a:ext cx="1668302" cy="836295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 i="0" u="none" strike="noStrike">
              <a:solidFill>
                <a:srgbClr val="000000"/>
              </a:solidFill>
              <a:latin typeface="Aptos Narrow"/>
            </a:rPr>
            <a:t>TOTAL DE PEÇAS</a:t>
          </a:r>
          <a:r>
            <a:rPr lang="en-US" sz="1200" b="1" i="0" u="none" strike="noStrike" baseline="0">
              <a:solidFill>
                <a:srgbClr val="000000"/>
              </a:solidFill>
              <a:latin typeface="Aptos Narrow"/>
            </a:rPr>
            <a:t> MORTAS USINAGEM</a:t>
          </a:r>
          <a:endParaRPr lang="en-US" sz="1200" b="1" i="0" u="none" strike="noStrike">
            <a:solidFill>
              <a:srgbClr val="000000"/>
            </a:solidFill>
            <a:latin typeface="Aptos Narrow"/>
          </a:endParaRPr>
        </a:p>
      </xdr:txBody>
    </xdr:sp>
    <xdr:clientData/>
  </xdr:twoCellAnchor>
  <xdr:twoCellAnchor>
    <xdr:from>
      <xdr:col>13</xdr:col>
      <xdr:colOff>296704</xdr:colOff>
      <xdr:row>5</xdr:row>
      <xdr:rowOff>7620</xdr:rowOff>
    </xdr:from>
    <xdr:to>
      <xdr:col>14</xdr:col>
      <xdr:colOff>583407</xdr:colOff>
      <xdr:row>7</xdr:row>
      <xdr:rowOff>74295</xdr:rowOff>
    </xdr:to>
    <xdr:sp macro="" textlink="Lançamentos!Z299">
      <xdr:nvSpPr>
        <xdr:cNvPr id="71" name="Retângulo 70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/>
      </xdr:nvSpPr>
      <xdr:spPr>
        <a:xfrm>
          <a:off x="9274017" y="900589"/>
          <a:ext cx="977265" cy="4238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fld id="{46653A0E-D1EE-4049-97E4-2D35759D6BDB}" type="TxLink">
            <a:rPr lang="en-US" sz="2800" b="1" i="0" u="none" strike="noStrike">
              <a:solidFill>
                <a:srgbClr val="002060"/>
              </a:solidFill>
              <a:latin typeface="Aptos Narrow"/>
              <a:ea typeface="+mn-ea"/>
              <a:cs typeface="+mn-cs"/>
            </a:rPr>
            <a:pPr marL="0" indent="0" algn="l"/>
            <a:t>6</a:t>
          </a:fld>
          <a:endParaRPr lang="pt-BR" sz="2800" b="1" i="0" u="none" strike="noStrike">
            <a:solidFill>
              <a:srgbClr val="00206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108585</xdr:colOff>
      <xdr:row>5</xdr:row>
      <xdr:rowOff>19526</xdr:rowOff>
    </xdr:from>
    <xdr:to>
      <xdr:col>17</xdr:col>
      <xdr:colOff>390525</xdr:colOff>
      <xdr:row>7</xdr:row>
      <xdr:rowOff>86201</xdr:rowOff>
    </xdr:to>
    <xdr:sp macro="" textlink="'Indicadores Usinagem'!C43">
      <xdr:nvSpPr>
        <xdr:cNvPr id="72" name="Retângulo 71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/>
      </xdr:nvSpPr>
      <xdr:spPr>
        <a:xfrm>
          <a:off x="11157585" y="912495"/>
          <a:ext cx="972503" cy="4238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fld id="{B944EA57-AE28-4FCD-B320-4C04FF7C2CFD}" type="TxLink">
            <a:rPr lang="en-US" sz="2800" b="1" i="0" u="none" strike="noStrike">
              <a:solidFill>
                <a:srgbClr val="C00000"/>
              </a:solidFill>
              <a:latin typeface="Aptos Narrow"/>
              <a:ea typeface="+mn-ea"/>
              <a:cs typeface="+mn-cs"/>
            </a:rPr>
            <a:pPr marL="0" indent="0" algn="l"/>
            <a:t>4</a:t>
          </a:fld>
          <a:endParaRPr lang="pt-BR" sz="2800" b="1" i="0" u="none" strike="noStrike">
            <a:solidFill>
              <a:srgbClr val="C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140494</xdr:colOff>
      <xdr:row>13</xdr:row>
      <xdr:rowOff>2744</xdr:rowOff>
    </xdr:from>
    <xdr:to>
      <xdr:col>3</xdr:col>
      <xdr:colOff>445294</xdr:colOff>
      <xdr:row>16</xdr:row>
      <xdr:rowOff>46674</xdr:rowOff>
    </xdr:to>
    <xdr:sp macro="" textlink="">
      <xdr:nvSpPr>
        <xdr:cNvPr id="73" name="Fluxograma: Fita Perfurada 4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/>
      </xdr:nvSpPr>
      <xdr:spPr>
        <a:xfrm>
          <a:off x="140494" y="2324463"/>
          <a:ext cx="2376488" cy="579711"/>
        </a:xfrm>
        <a:prstGeom prst="flowChartPunchedTape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600" b="1"/>
            <a:t>IND.</a:t>
          </a:r>
          <a:r>
            <a:rPr lang="pt-BR" sz="1600" b="1" baseline="0"/>
            <a:t>DE USINAGEM</a:t>
          </a:r>
          <a:endParaRPr lang="pt-BR" sz="1600" b="1"/>
        </a:p>
      </xdr:txBody>
    </xdr:sp>
    <xdr:clientData/>
  </xdr:twoCellAnchor>
  <xdr:twoCellAnchor>
    <xdr:from>
      <xdr:col>17</xdr:col>
      <xdr:colOff>535781</xdr:colOff>
      <xdr:row>3</xdr:row>
      <xdr:rowOff>33814</xdr:rowOff>
    </xdr:from>
    <xdr:to>
      <xdr:col>20</xdr:col>
      <xdr:colOff>392906</xdr:colOff>
      <xdr:row>7</xdr:row>
      <xdr:rowOff>155734</xdr:rowOff>
    </xdr:to>
    <xdr:sp macro="" textlink="">
      <xdr:nvSpPr>
        <xdr:cNvPr id="74" name="Retângulo 73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12275344" y="569595"/>
          <a:ext cx="1928812" cy="836295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 i="0" u="none" strike="noStrike">
              <a:solidFill>
                <a:srgbClr val="000000"/>
              </a:solidFill>
              <a:latin typeface="Aptos Narrow"/>
            </a:rPr>
            <a:t>TOTAL</a:t>
          </a:r>
          <a:r>
            <a:rPr lang="en-US" sz="1200" b="1" i="0" u="none" strike="noStrike" baseline="0">
              <a:solidFill>
                <a:srgbClr val="000000"/>
              </a:solidFill>
              <a:latin typeface="Aptos Narrow"/>
            </a:rPr>
            <a:t> DE PEÇAS MORTAS USIN. OUTROS</a:t>
          </a:r>
          <a:endParaRPr lang="en-US" sz="1200" b="1" i="0" u="none" strike="noStrike">
            <a:solidFill>
              <a:srgbClr val="000000"/>
            </a:solidFill>
            <a:latin typeface="Aptos Narrow"/>
          </a:endParaRPr>
        </a:p>
      </xdr:txBody>
    </xdr:sp>
    <xdr:clientData/>
  </xdr:twoCellAnchor>
  <xdr:twoCellAnchor>
    <xdr:from>
      <xdr:col>20</xdr:col>
      <xdr:colOff>440532</xdr:colOff>
      <xdr:row>3</xdr:row>
      <xdr:rowOff>31431</xdr:rowOff>
    </xdr:from>
    <xdr:to>
      <xdr:col>23</xdr:col>
      <xdr:colOff>200026</xdr:colOff>
      <xdr:row>7</xdr:row>
      <xdr:rowOff>153351</xdr:rowOff>
    </xdr:to>
    <xdr:sp macro="" textlink="">
      <xdr:nvSpPr>
        <xdr:cNvPr id="75" name="Retângulo 74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/>
      </xdr:nvSpPr>
      <xdr:spPr>
        <a:xfrm>
          <a:off x="14251782" y="567212"/>
          <a:ext cx="1831182" cy="836295"/>
        </a:xfrm>
        <a:prstGeom prst="rect">
          <a:avLst/>
        </a:prstGeom>
        <a:solidFill>
          <a:srgbClr val="156082">
            <a:alpha val="7490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 i="0" u="none" strike="noStrike">
              <a:solidFill>
                <a:srgbClr val="000000"/>
              </a:solidFill>
              <a:latin typeface="Aptos Narrow"/>
            </a:rPr>
            <a:t>TOTAL DE PEÇAS</a:t>
          </a:r>
          <a:r>
            <a:rPr lang="en-US" sz="1200" b="1" i="0" u="none" strike="noStrike" baseline="0">
              <a:solidFill>
                <a:srgbClr val="000000"/>
              </a:solidFill>
              <a:latin typeface="Aptos Narrow"/>
            </a:rPr>
            <a:t> RETRABALHOS OUTROS</a:t>
          </a:r>
          <a:endParaRPr lang="en-US" sz="1200" b="1" i="0" u="none" strike="noStrike">
            <a:solidFill>
              <a:srgbClr val="000000"/>
            </a:solidFill>
            <a:latin typeface="Aptos Narrow"/>
          </a:endParaRPr>
        </a:p>
      </xdr:txBody>
    </xdr:sp>
    <xdr:clientData/>
  </xdr:twoCellAnchor>
  <xdr:twoCellAnchor>
    <xdr:from>
      <xdr:col>18</xdr:col>
      <xdr:colOff>606266</xdr:colOff>
      <xdr:row>5</xdr:row>
      <xdr:rowOff>29051</xdr:rowOff>
    </xdr:from>
    <xdr:to>
      <xdr:col>20</xdr:col>
      <xdr:colOff>197644</xdr:colOff>
      <xdr:row>7</xdr:row>
      <xdr:rowOff>95726</xdr:rowOff>
    </xdr:to>
    <xdr:sp macro="" textlink="'Indicadores Usinagem'!C45">
      <xdr:nvSpPr>
        <xdr:cNvPr id="76" name="Retângulo 75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/>
      </xdr:nvSpPr>
      <xdr:spPr>
        <a:xfrm>
          <a:off x="13036391" y="922020"/>
          <a:ext cx="972503" cy="4238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fld id="{5FDD0472-3BA2-4A0B-A50D-65BF8B67F8B2}" type="TxLink">
            <a:rPr lang="en-US" sz="2800" b="1" i="0" u="none" strike="noStrike">
              <a:solidFill>
                <a:srgbClr val="C00000"/>
              </a:solidFill>
              <a:latin typeface="Aptos Narrow"/>
              <a:ea typeface="+mn-ea"/>
              <a:cs typeface="+mn-cs"/>
            </a:rPr>
            <a:pPr marL="0" indent="0" algn="l"/>
            <a:t>0</a:t>
          </a:fld>
          <a:endParaRPr lang="pt-BR" sz="2800" b="1" i="0" u="none" strike="noStrike">
            <a:solidFill>
              <a:srgbClr val="C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449102</xdr:colOff>
      <xdr:row>5</xdr:row>
      <xdr:rowOff>14763</xdr:rowOff>
    </xdr:from>
    <xdr:to>
      <xdr:col>23</xdr:col>
      <xdr:colOff>40480</xdr:colOff>
      <xdr:row>7</xdr:row>
      <xdr:rowOff>81438</xdr:rowOff>
    </xdr:to>
    <xdr:sp macro="" textlink="'Indicadores Usinagem'!C38">
      <xdr:nvSpPr>
        <xdr:cNvPr id="77" name="Retângulo 76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/>
      </xdr:nvSpPr>
      <xdr:spPr>
        <a:xfrm>
          <a:off x="14950915" y="907732"/>
          <a:ext cx="972503" cy="4238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fld id="{7C52648D-35FE-4A9A-A1C9-16F1C420BC4C}" type="TxLink">
            <a:rPr lang="en-US" sz="2800" b="1" i="0" u="none" strike="noStrike">
              <a:solidFill>
                <a:srgbClr val="C00000"/>
              </a:solidFill>
              <a:latin typeface="Aptos Narrow"/>
              <a:ea typeface="+mn-ea"/>
              <a:cs typeface="+mn-cs"/>
            </a:rPr>
            <a:pPr marL="0" indent="0" algn="l"/>
            <a:t>0</a:t>
          </a:fld>
          <a:endParaRPr lang="pt-BR" sz="2800" b="1" i="0" u="none" strike="noStrike">
            <a:solidFill>
              <a:srgbClr val="C00000"/>
            </a:solidFill>
            <a:latin typeface="Aptos Narrow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1158240</xdr:colOff>
      <xdr:row>1</xdr:row>
      <xdr:rowOff>53340</xdr:rowOff>
    </xdr:from>
    <xdr:to>
      <xdr:col>33</xdr:col>
      <xdr:colOff>6873240</xdr:colOff>
      <xdr:row>1</xdr:row>
      <xdr:rowOff>480060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9860280" y="53340"/>
          <a:ext cx="24460200" cy="426720"/>
        </a:xfrm>
        <a:prstGeom prst="roundRect">
          <a:avLst/>
        </a:prstGeom>
        <a:solidFill>
          <a:srgbClr val="0070C0"/>
        </a:solidFill>
        <a:ln>
          <a:solidFill>
            <a:schemeClr val="bg1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800" b="1"/>
            <a:t>HOME</a:t>
          </a:r>
        </a:p>
      </xdr:txBody>
    </xdr:sp>
    <xdr:clientData/>
  </xdr:twoCellAnchor>
  <xdr:twoCellAnchor editAs="oneCell">
    <xdr:from>
      <xdr:col>0</xdr:col>
      <xdr:colOff>0</xdr:colOff>
      <xdr:row>1</xdr:row>
      <xdr:rowOff>11905</xdr:rowOff>
    </xdr:from>
    <xdr:to>
      <xdr:col>2</xdr:col>
      <xdr:colOff>585936</xdr:colOff>
      <xdr:row>1</xdr:row>
      <xdr:rowOff>738186</xdr:rowOff>
    </xdr:to>
    <xdr:pic>
      <xdr:nvPicPr>
        <xdr:cNvPr id="3" name="Imagem 2" descr="Mectrol HIWIN - Automação e Robótica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218"/>
          <a:ext cx="2419499" cy="7262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1158240</xdr:colOff>
      <xdr:row>1</xdr:row>
      <xdr:rowOff>53340</xdr:rowOff>
    </xdr:from>
    <xdr:to>
      <xdr:col>33</xdr:col>
      <xdr:colOff>6873240</xdr:colOff>
      <xdr:row>1</xdr:row>
      <xdr:rowOff>480060</xdr:rowOff>
    </xdr:to>
    <xdr:sp macro="" textlink="">
      <xdr:nvSpPr>
        <xdr:cNvPr id="4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3697903" y="648653"/>
          <a:ext cx="27136725" cy="426720"/>
        </a:xfrm>
        <a:prstGeom prst="roundRect">
          <a:avLst/>
        </a:prstGeom>
        <a:solidFill>
          <a:srgbClr val="0070C0"/>
        </a:solidFill>
        <a:ln>
          <a:solidFill>
            <a:schemeClr val="bg1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800" b="1"/>
            <a:t>HOME</a:t>
          </a:r>
        </a:p>
      </xdr:txBody>
    </xdr:sp>
    <xdr:clientData/>
  </xdr:twoCellAnchor>
  <xdr:oneCellAnchor>
    <xdr:from>
      <xdr:col>0</xdr:col>
      <xdr:colOff>0</xdr:colOff>
      <xdr:row>1</xdr:row>
      <xdr:rowOff>11905</xdr:rowOff>
    </xdr:from>
    <xdr:ext cx="2419499" cy="726281"/>
    <xdr:pic>
      <xdr:nvPicPr>
        <xdr:cNvPr id="5" name="Imagem 4" descr="Mectrol HIWIN - Automação e Robótica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218"/>
          <a:ext cx="2419499" cy="7262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196215</xdr:colOff>
      <xdr:row>0</xdr:row>
      <xdr:rowOff>120015</xdr:rowOff>
    </xdr:from>
    <xdr:to>
      <xdr:col>30</xdr:col>
      <xdr:colOff>36195</xdr:colOff>
      <xdr:row>0</xdr:row>
      <xdr:rowOff>569595</xdr:rowOff>
    </xdr:to>
    <xdr:sp macro="" textlink="">
      <xdr:nvSpPr>
        <xdr:cNvPr id="3" name="Retângulo: Cantos Arredond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8130540" y="120015"/>
          <a:ext cx="16356330" cy="449580"/>
        </a:xfrm>
        <a:prstGeom prst="roundRect">
          <a:avLst/>
        </a:prstGeom>
        <a:solidFill>
          <a:srgbClr val="0070C0"/>
        </a:solidFill>
        <a:ln>
          <a:solidFill>
            <a:schemeClr val="bg1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800" b="1"/>
            <a:t>HOME</a:t>
          </a:r>
        </a:p>
      </xdr:txBody>
    </xdr:sp>
    <xdr:clientData/>
  </xdr:twoCellAnchor>
  <xdr:twoCellAnchor editAs="oneCell">
    <xdr:from>
      <xdr:col>0</xdr:col>
      <xdr:colOff>161925</xdr:colOff>
      <xdr:row>0</xdr:row>
      <xdr:rowOff>0</xdr:rowOff>
    </xdr:from>
    <xdr:to>
      <xdr:col>1</xdr:col>
      <xdr:colOff>2295525</xdr:colOff>
      <xdr:row>0</xdr:row>
      <xdr:rowOff>742950</xdr:rowOff>
    </xdr:to>
    <xdr:pic>
      <xdr:nvPicPr>
        <xdr:cNvPr id="4" name="Imagem 3" descr="Mectrol HIWIN - Automação e Robótica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925" y="0"/>
          <a:ext cx="2933700" cy="742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4</xdr:row>
      <xdr:rowOff>30480</xdr:rowOff>
    </xdr:from>
    <xdr:to>
      <xdr:col>3</xdr:col>
      <xdr:colOff>45720</xdr:colOff>
      <xdr:row>18</xdr:row>
      <xdr:rowOff>125730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22860</xdr:colOff>
      <xdr:row>0</xdr:row>
      <xdr:rowOff>53340</xdr:rowOff>
    </xdr:from>
    <xdr:to>
      <xdr:col>17</xdr:col>
      <xdr:colOff>922020</xdr:colOff>
      <xdr:row>0</xdr:row>
      <xdr:rowOff>495300</xdr:rowOff>
    </xdr:to>
    <xdr:sp macro="" textlink="">
      <xdr:nvSpPr>
        <xdr:cNvPr id="13" name="Retângulo: Cantos Arredondados 1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3472160" y="53340"/>
          <a:ext cx="1508760" cy="441960"/>
        </a:xfrm>
        <a:prstGeom prst="roundRect">
          <a:avLst/>
        </a:prstGeom>
        <a:solidFill>
          <a:srgbClr val="0070C0"/>
        </a:solidFill>
        <a:ln>
          <a:solidFill>
            <a:schemeClr val="bg1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HOME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</xdr:colOff>
      <xdr:row>0</xdr:row>
      <xdr:rowOff>32385</xdr:rowOff>
    </xdr:from>
    <xdr:to>
      <xdr:col>5</xdr:col>
      <xdr:colOff>350520</xdr:colOff>
      <xdr:row>0</xdr:row>
      <xdr:rowOff>474345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071860" y="32385"/>
          <a:ext cx="1661160" cy="441960"/>
        </a:xfrm>
        <a:prstGeom prst="roundRect">
          <a:avLst/>
        </a:prstGeom>
        <a:solidFill>
          <a:srgbClr val="0070C0"/>
        </a:solidFill>
        <a:ln>
          <a:solidFill>
            <a:schemeClr val="bg1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HOME</a:t>
          </a:r>
        </a:p>
      </xdr:txBody>
    </xdr:sp>
    <xdr:clientData/>
  </xdr:twoCellAnchor>
  <xdr:twoCellAnchor editAs="oneCell">
    <xdr:from>
      <xdr:col>0</xdr:col>
      <xdr:colOff>1</xdr:colOff>
      <xdr:row>0</xdr:row>
      <xdr:rowOff>47625</xdr:rowOff>
    </xdr:from>
    <xdr:to>
      <xdr:col>1</xdr:col>
      <xdr:colOff>2105026</xdr:colOff>
      <xdr:row>0</xdr:row>
      <xdr:rowOff>742950</xdr:rowOff>
    </xdr:to>
    <xdr:pic>
      <xdr:nvPicPr>
        <xdr:cNvPr id="3" name="Imagem 2" descr="Mectrol HIWIN - Automação e Robótica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47625"/>
          <a:ext cx="3448050" cy="695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3</xdr:row>
      <xdr:rowOff>95250</xdr:rowOff>
    </xdr:from>
    <xdr:to>
      <xdr:col>7</xdr:col>
      <xdr:colOff>270510</xdr:colOff>
      <xdr:row>5</xdr:row>
      <xdr:rowOff>165735</xdr:rowOff>
    </xdr:to>
    <xdr:sp macro="" textlink="">
      <xdr:nvSpPr>
        <xdr:cNvPr id="2" name="Retângulo: Cantos Arredondados 1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6372225" y="638175"/>
          <a:ext cx="1584960" cy="441960"/>
        </a:xfrm>
        <a:prstGeom prst="roundRect">
          <a:avLst/>
        </a:prstGeom>
        <a:solidFill>
          <a:srgbClr val="0070C0"/>
        </a:solidFill>
        <a:ln>
          <a:solidFill>
            <a:schemeClr val="bg1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HOME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howOutlineSymbols="0"/>
  </sheetPr>
  <dimension ref="A1:AD55"/>
  <sheetViews>
    <sheetView showGridLines="0" showRowColHeaders="0" showZeros="0" showOutlineSymbols="0" defaultGridColor="0" colorId="18" zoomScale="80" zoomScaleNormal="80" workbookViewId="0"/>
  </sheetViews>
  <sheetFormatPr defaultRowHeight="15" x14ac:dyDescent="0.25"/>
  <sheetData>
    <row r="1" spans="1:30" x14ac:dyDescent="0.25">
      <c r="A1" t="str">
        <f>Observações!C4</f>
        <v>OMR - 04731301001 - MORREU NO DESBASTE, PASTILHA VIROU E DEIXOU A MEDIDA MENOR</v>
      </c>
      <c r="Z1" s="13"/>
      <c r="AA1" s="13"/>
      <c r="AB1" s="13"/>
      <c r="AC1" s="13"/>
      <c r="AD1" s="13"/>
    </row>
    <row r="2" spans="1:30" x14ac:dyDescent="0.25">
      <c r="Z2" s="13"/>
      <c r="AA2" s="13"/>
      <c r="AB2" s="13"/>
      <c r="AC2" s="13"/>
      <c r="AD2" s="13"/>
    </row>
    <row r="3" spans="1:30" x14ac:dyDescent="0.25">
      <c r="Z3" s="13"/>
      <c r="AA3" s="13"/>
      <c r="AB3" s="13"/>
      <c r="AC3" s="13"/>
      <c r="AD3" s="13"/>
    </row>
    <row r="4" spans="1:30" x14ac:dyDescent="0.25">
      <c r="Z4" s="13"/>
      <c r="AA4" s="13"/>
      <c r="AB4" s="13"/>
      <c r="AC4" s="13"/>
      <c r="AD4" s="13"/>
    </row>
    <row r="5" spans="1:30" x14ac:dyDescent="0.25">
      <c r="Z5" s="13"/>
      <c r="AA5" s="13"/>
      <c r="AB5" s="13"/>
      <c r="AC5" s="13"/>
      <c r="AD5" s="13"/>
    </row>
    <row r="6" spans="1:30" x14ac:dyDescent="0.25">
      <c r="Z6" s="13"/>
      <c r="AA6" s="13"/>
      <c r="AB6" s="13"/>
      <c r="AC6" s="13"/>
      <c r="AD6" s="13"/>
    </row>
    <row r="7" spans="1:30" x14ac:dyDescent="0.25">
      <c r="Z7" s="13"/>
      <c r="AA7" s="13"/>
      <c r="AB7" s="13"/>
      <c r="AC7" s="13"/>
      <c r="AD7" s="13"/>
    </row>
    <row r="8" spans="1:30" x14ac:dyDescent="0.25">
      <c r="Z8" s="13"/>
      <c r="AA8" s="13"/>
      <c r="AB8" s="13"/>
      <c r="AC8" s="13"/>
      <c r="AD8" s="13"/>
    </row>
    <row r="9" spans="1:30" x14ac:dyDescent="0.25">
      <c r="Z9" s="13"/>
      <c r="AA9" s="13"/>
      <c r="AB9" s="13"/>
      <c r="AC9" s="13"/>
      <c r="AD9" s="13"/>
    </row>
    <row r="10" spans="1:30" x14ac:dyDescent="0.25">
      <c r="Z10" s="13"/>
      <c r="AA10" s="13"/>
      <c r="AB10" s="13"/>
      <c r="AC10" s="13"/>
      <c r="AD10" s="13"/>
    </row>
    <row r="11" spans="1:30" x14ac:dyDescent="0.25">
      <c r="Z11" s="13"/>
      <c r="AA11" s="13"/>
      <c r="AB11" s="13"/>
      <c r="AC11" s="13"/>
      <c r="AD11" s="13"/>
    </row>
    <row r="12" spans="1:30" x14ac:dyDescent="0.25">
      <c r="Z12" s="13"/>
      <c r="AA12" s="13"/>
      <c r="AB12" s="13"/>
      <c r="AC12" s="13"/>
      <c r="AD12" s="13"/>
    </row>
    <row r="13" spans="1:30" x14ac:dyDescent="0.25">
      <c r="Z13" s="13"/>
      <c r="AA13" s="13"/>
      <c r="AB13" s="13"/>
      <c r="AC13" s="13"/>
      <c r="AD13" s="13"/>
    </row>
    <row r="14" spans="1:30" x14ac:dyDescent="0.25">
      <c r="Z14" s="13"/>
      <c r="AA14" s="13"/>
      <c r="AB14" s="13"/>
      <c r="AC14" s="13"/>
      <c r="AD14" s="13"/>
    </row>
    <row r="15" spans="1:30" x14ac:dyDescent="0.25">
      <c r="Z15" s="13"/>
      <c r="AA15" s="13"/>
      <c r="AB15" s="13"/>
      <c r="AC15" s="13"/>
      <c r="AD15" s="13"/>
    </row>
    <row r="16" spans="1:30" x14ac:dyDescent="0.25">
      <c r="Z16" s="13"/>
      <c r="AA16" s="13"/>
      <c r="AB16" s="13"/>
      <c r="AC16" s="13"/>
      <c r="AD16" s="13"/>
    </row>
    <row r="17" spans="26:30" x14ac:dyDescent="0.25">
      <c r="Z17" s="13"/>
      <c r="AA17" s="13"/>
      <c r="AB17" s="13"/>
      <c r="AC17" s="13"/>
      <c r="AD17" s="13"/>
    </row>
    <row r="18" spans="26:30" x14ac:dyDescent="0.25">
      <c r="Z18" s="13"/>
      <c r="AA18" s="13"/>
      <c r="AB18" s="13"/>
      <c r="AC18" s="13"/>
      <c r="AD18" s="13"/>
    </row>
    <row r="19" spans="26:30" x14ac:dyDescent="0.25">
      <c r="Z19" s="13"/>
      <c r="AA19" s="13"/>
      <c r="AB19" s="13"/>
      <c r="AC19" s="13"/>
      <c r="AD19" s="13"/>
    </row>
    <row r="20" spans="26:30" x14ac:dyDescent="0.25">
      <c r="Z20" s="13"/>
      <c r="AA20" s="13"/>
      <c r="AB20" s="13"/>
      <c r="AC20" s="13"/>
      <c r="AD20" s="13"/>
    </row>
    <row r="21" spans="26:30" x14ac:dyDescent="0.25">
      <c r="Z21" s="13"/>
      <c r="AA21" s="13"/>
      <c r="AB21" s="13"/>
      <c r="AC21" s="13"/>
      <c r="AD21" s="13"/>
    </row>
    <row r="22" spans="26:30" x14ac:dyDescent="0.25">
      <c r="Z22" s="13"/>
      <c r="AA22" s="13"/>
      <c r="AB22" s="13"/>
      <c r="AC22" s="13"/>
      <c r="AD22" s="13"/>
    </row>
    <row r="23" spans="26:30" x14ac:dyDescent="0.25">
      <c r="Z23" s="13"/>
      <c r="AA23" s="13"/>
      <c r="AB23" s="13"/>
      <c r="AC23" s="13"/>
      <c r="AD23" s="13"/>
    </row>
    <row r="24" spans="26:30" x14ac:dyDescent="0.25">
      <c r="Z24" s="13"/>
      <c r="AA24" s="13"/>
      <c r="AB24" s="13"/>
      <c r="AC24" s="13"/>
      <c r="AD24" s="13"/>
    </row>
    <row r="25" spans="26:30" x14ac:dyDescent="0.25">
      <c r="Z25" s="13"/>
      <c r="AA25" s="13"/>
      <c r="AB25" s="13"/>
      <c r="AC25" s="13"/>
      <c r="AD25" s="13"/>
    </row>
    <row r="26" spans="26:30" x14ac:dyDescent="0.25">
      <c r="Z26" s="13"/>
      <c r="AA26" s="13"/>
      <c r="AB26" s="13"/>
      <c r="AC26" s="13"/>
      <c r="AD26" s="13"/>
    </row>
    <row r="27" spans="26:30" x14ac:dyDescent="0.25">
      <c r="Z27" s="13"/>
      <c r="AA27" s="13"/>
      <c r="AB27" s="13"/>
      <c r="AC27" s="13"/>
      <c r="AD27" s="13"/>
    </row>
    <row r="28" spans="26:30" x14ac:dyDescent="0.25">
      <c r="Z28" s="13"/>
      <c r="AA28" s="13"/>
      <c r="AB28" s="13"/>
      <c r="AC28" s="13"/>
      <c r="AD28" s="13"/>
    </row>
    <row r="29" spans="26:30" x14ac:dyDescent="0.25">
      <c r="Z29" s="13"/>
      <c r="AA29" s="13"/>
      <c r="AB29" s="13"/>
      <c r="AC29" s="13"/>
      <c r="AD29" s="13"/>
    </row>
    <row r="30" spans="26:30" x14ac:dyDescent="0.25">
      <c r="Z30" s="13"/>
      <c r="AA30" s="13"/>
      <c r="AB30" s="13"/>
      <c r="AC30" s="13"/>
      <c r="AD30" s="13"/>
    </row>
    <row r="31" spans="26:30" x14ac:dyDescent="0.25">
      <c r="Z31" s="13"/>
      <c r="AA31" s="13"/>
      <c r="AB31" s="13"/>
      <c r="AC31" s="13"/>
      <c r="AD31" s="13"/>
    </row>
    <row r="32" spans="26:30" x14ac:dyDescent="0.25">
      <c r="Z32" s="13"/>
      <c r="AA32" s="13"/>
      <c r="AB32" s="13"/>
      <c r="AC32" s="13"/>
      <c r="AD32" s="13"/>
    </row>
    <row r="33" spans="1:30" x14ac:dyDescent="0.25">
      <c r="Z33" s="13"/>
      <c r="AA33" s="13"/>
      <c r="AB33" s="13"/>
      <c r="AC33" s="13"/>
      <c r="AD33" s="13"/>
    </row>
    <row r="34" spans="1:30" x14ac:dyDescent="0.25">
      <c r="Z34" s="13"/>
      <c r="AA34" s="13"/>
      <c r="AB34" s="13"/>
      <c r="AC34" s="13"/>
      <c r="AD34" s="13"/>
    </row>
    <row r="35" spans="1:30" x14ac:dyDescent="0.25">
      <c r="Z35" s="13"/>
      <c r="AA35" s="13"/>
      <c r="AB35" s="13"/>
      <c r="AC35" s="13"/>
      <c r="AD35" s="13"/>
    </row>
    <row r="36" spans="1:30" x14ac:dyDescent="0.25">
      <c r="Z36" s="13"/>
      <c r="AA36" s="13"/>
      <c r="AB36" s="13"/>
      <c r="AC36" s="13"/>
      <c r="AD36" s="13"/>
    </row>
    <row r="37" spans="1:30" x14ac:dyDescent="0.25">
      <c r="Z37" s="13"/>
      <c r="AA37" s="13"/>
      <c r="AB37" s="13"/>
      <c r="AC37" s="13"/>
      <c r="AD37" s="13"/>
    </row>
    <row r="38" spans="1:30" x14ac:dyDescent="0.25">
      <c r="Z38" s="13"/>
      <c r="AA38" s="13"/>
      <c r="AB38" s="13"/>
      <c r="AC38" s="13"/>
      <c r="AD38" s="13"/>
    </row>
    <row r="39" spans="1:30" x14ac:dyDescent="0.25">
      <c r="Z39" s="13"/>
      <c r="AA39" s="13"/>
      <c r="AB39" s="13"/>
      <c r="AC39" s="13"/>
      <c r="AD39" s="13"/>
    </row>
    <row r="40" spans="1:30" x14ac:dyDescent="0.25">
      <c r="Z40" s="13"/>
      <c r="AA40" s="13"/>
      <c r="AB40" s="13"/>
      <c r="AC40" s="13"/>
      <c r="AD40" s="13"/>
    </row>
    <row r="41" spans="1:30" x14ac:dyDescent="0.25">
      <c r="Z41" s="13"/>
      <c r="AA41" s="13"/>
      <c r="AB41" s="13"/>
      <c r="AC41" s="13"/>
      <c r="AD41" s="13"/>
    </row>
    <row r="42" spans="1:30" x14ac:dyDescent="0.25">
      <c r="Z42" s="13"/>
      <c r="AA42" s="13"/>
      <c r="AB42" s="13"/>
      <c r="AC42" s="13"/>
      <c r="AD42" s="13"/>
    </row>
    <row r="43" spans="1:30" x14ac:dyDescent="0.25">
      <c r="Z43" s="13"/>
      <c r="AA43" s="13"/>
      <c r="AB43" s="13"/>
      <c r="AC43" s="13"/>
      <c r="AD43" s="13"/>
    </row>
    <row r="44" spans="1:30" x14ac:dyDescent="0.25">
      <c r="Z44" s="13"/>
      <c r="AA44" s="13"/>
      <c r="AB44" s="13"/>
      <c r="AC44" s="13"/>
      <c r="AD44" s="13"/>
    </row>
    <row r="45" spans="1:30" x14ac:dyDescent="0.25">
      <c r="Z45" s="13"/>
      <c r="AA45" s="13"/>
      <c r="AB45" s="13"/>
      <c r="AC45" s="13"/>
      <c r="AD45" s="13"/>
    </row>
    <row r="46" spans="1:30" x14ac:dyDescent="0.25">
      <c r="Z46" s="13"/>
      <c r="AA46" s="13"/>
      <c r="AB46" s="13"/>
      <c r="AC46" s="13"/>
      <c r="AD46" s="13"/>
    </row>
    <row r="47" spans="1:30" x14ac:dyDescent="0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 x14ac:dyDescent="0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x14ac:dyDescent="0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 x14ac:dyDescent="0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 x14ac:dyDescent="0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</sheetData>
  <sheetProtection selectLockedCells="1" selectUnlockedCells="1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305"/>
  <sheetViews>
    <sheetView tabSelected="1" topLeftCell="P1" zoomScale="85" zoomScaleNormal="85" workbookViewId="0">
      <pane ySplit="1" topLeftCell="A2" activePane="bottomLeft" state="frozen"/>
      <selection pane="bottomLeft" activeCell="R3" sqref="R3:AB3"/>
    </sheetView>
  </sheetViews>
  <sheetFormatPr defaultColWidth="9" defaultRowHeight="15" x14ac:dyDescent="0.25"/>
  <cols>
    <col min="1" max="1" width="12.140625" style="65" customWidth="1"/>
    <col min="2" max="2" width="11.85546875" style="108" customWidth="1"/>
    <col min="3" max="5" width="14.28515625" style="108" customWidth="1"/>
    <col min="6" max="6" width="10.7109375" style="108" customWidth="1"/>
    <col min="7" max="8" width="11" style="108" customWidth="1"/>
    <col min="9" max="9" width="8.5703125" style="108" customWidth="1"/>
    <col min="10" max="10" width="7.42578125" style="108" customWidth="1"/>
    <col min="11" max="11" width="24.7109375" style="65" customWidth="1"/>
    <col min="12" max="12" width="12.5703125" style="108" customWidth="1"/>
    <col min="13" max="13" width="13.85546875" style="96" customWidth="1"/>
    <col min="14" max="14" width="13.28515625" style="97" customWidth="1"/>
    <col min="15" max="15" width="14.42578125" style="72" bestFit="1" customWidth="1"/>
    <col min="16" max="16" width="15.7109375" style="122" bestFit="1" customWidth="1"/>
    <col min="17" max="17" width="15.7109375" style="122" customWidth="1"/>
    <col min="18" max="24" width="14.7109375" style="123" customWidth="1"/>
    <col min="25" max="25" width="16.42578125" style="131" customWidth="1"/>
    <col min="26" max="26" width="14.7109375" style="124" customWidth="1"/>
    <col min="27" max="27" width="14.7109375" style="125" customWidth="1"/>
    <col min="28" max="28" width="14.7109375" style="122" customWidth="1"/>
    <col min="29" max="29" width="14.7109375" style="269" customWidth="1"/>
    <col min="30" max="30" width="17.140625" style="65" customWidth="1"/>
    <col min="31" max="31" width="19.85546875" style="65" bestFit="1" customWidth="1"/>
    <col min="32" max="32" width="17.42578125" style="16" bestFit="1" customWidth="1"/>
    <col min="33" max="33" width="13.42578125" style="16" customWidth="1"/>
    <col min="34" max="34" width="84.85546875" style="155" customWidth="1"/>
    <col min="35" max="35" width="9" style="9" customWidth="1"/>
    <col min="36" max="16384" width="9" style="9"/>
  </cols>
  <sheetData>
    <row r="1" spans="1:35" s="75" customFormat="1" ht="47.25" x14ac:dyDescent="0.25">
      <c r="A1" s="73" t="s">
        <v>0</v>
      </c>
      <c r="B1" s="78" t="s">
        <v>73</v>
      </c>
      <c r="C1" s="99" t="s">
        <v>74</v>
      </c>
      <c r="D1" s="99" t="s">
        <v>80</v>
      </c>
      <c r="E1" s="99" t="s">
        <v>81</v>
      </c>
      <c r="F1" s="99" t="s">
        <v>75</v>
      </c>
      <c r="G1" s="99" t="s">
        <v>82</v>
      </c>
      <c r="H1" s="99" t="s">
        <v>83</v>
      </c>
      <c r="I1" s="95" t="s">
        <v>55</v>
      </c>
      <c r="J1" s="95" t="s">
        <v>56</v>
      </c>
      <c r="K1" s="73" t="s">
        <v>1</v>
      </c>
      <c r="L1" s="78" t="s">
        <v>2</v>
      </c>
      <c r="M1" s="78" t="s">
        <v>17</v>
      </c>
      <c r="N1" s="77" t="s">
        <v>27</v>
      </c>
      <c r="O1" s="74" t="s">
        <v>3</v>
      </c>
      <c r="P1" s="112" t="s">
        <v>4</v>
      </c>
      <c r="Q1" s="112" t="s">
        <v>84</v>
      </c>
      <c r="R1" s="113" t="s">
        <v>5</v>
      </c>
      <c r="S1" s="113" t="s">
        <v>6</v>
      </c>
      <c r="T1" s="113" t="s">
        <v>7</v>
      </c>
      <c r="U1" s="114" t="s">
        <v>8</v>
      </c>
      <c r="V1" s="113" t="s">
        <v>51</v>
      </c>
      <c r="W1" s="113" t="s">
        <v>9</v>
      </c>
      <c r="X1" s="113" t="s">
        <v>10</v>
      </c>
      <c r="Y1" s="130" t="s">
        <v>71</v>
      </c>
      <c r="Z1" s="115" t="s">
        <v>11</v>
      </c>
      <c r="AA1" s="116" t="s">
        <v>69</v>
      </c>
      <c r="AB1" s="112" t="s">
        <v>70</v>
      </c>
      <c r="AC1" s="270" t="s">
        <v>652</v>
      </c>
      <c r="AD1" s="73" t="s">
        <v>92</v>
      </c>
      <c r="AE1" s="73" t="s">
        <v>93</v>
      </c>
      <c r="AF1" s="73" t="s">
        <v>12</v>
      </c>
      <c r="AG1" s="77" t="s">
        <v>13</v>
      </c>
      <c r="AH1" s="152" t="s">
        <v>14</v>
      </c>
    </row>
    <row r="2" spans="1:35" ht="60" customHeight="1" x14ac:dyDescent="0.25">
      <c r="A2" s="109" t="s">
        <v>18</v>
      </c>
      <c r="B2" s="109"/>
      <c r="C2" s="126"/>
      <c r="D2" s="127"/>
      <c r="E2" s="127"/>
      <c r="F2" s="127"/>
      <c r="G2" s="127"/>
      <c r="H2" s="127"/>
      <c r="I2" s="127"/>
      <c r="J2" s="128"/>
      <c r="K2" s="149" t="s">
        <v>19</v>
      </c>
      <c r="L2" s="148"/>
      <c r="M2" s="148"/>
      <c r="N2" s="98"/>
      <c r="O2" s="98"/>
      <c r="P2" s="98"/>
      <c r="Q2" s="135"/>
      <c r="R2" s="98"/>
      <c r="S2" s="98"/>
      <c r="T2" s="98"/>
      <c r="U2" s="98"/>
      <c r="V2" s="98"/>
      <c r="W2" s="98"/>
      <c r="X2" s="98"/>
      <c r="Y2" s="129"/>
      <c r="Z2" s="98"/>
      <c r="AA2" s="98"/>
      <c r="AB2" s="129"/>
      <c r="AC2" s="271"/>
      <c r="AD2" s="98"/>
      <c r="AE2" s="98"/>
      <c r="AF2" s="98"/>
      <c r="AG2" s="98"/>
      <c r="AH2" s="151"/>
      <c r="AI2" s="71" t="s">
        <v>66</v>
      </c>
    </row>
    <row r="3" spans="1:35" s="75" customFormat="1" ht="47.25" x14ac:dyDescent="0.25">
      <c r="A3" s="73" t="s">
        <v>0</v>
      </c>
      <c r="B3" s="78" t="s">
        <v>73</v>
      </c>
      <c r="C3" s="99" t="s">
        <v>74</v>
      </c>
      <c r="D3" s="99" t="s">
        <v>80</v>
      </c>
      <c r="E3" s="99" t="s">
        <v>81</v>
      </c>
      <c r="F3" s="99" t="s">
        <v>75</v>
      </c>
      <c r="G3" s="99" t="s">
        <v>82</v>
      </c>
      <c r="H3" s="99" t="s">
        <v>83</v>
      </c>
      <c r="I3" s="95" t="s">
        <v>55</v>
      </c>
      <c r="J3" s="95" t="s">
        <v>56</v>
      </c>
      <c r="K3" s="73" t="s">
        <v>1</v>
      </c>
      <c r="L3" s="78" t="s">
        <v>2</v>
      </c>
      <c r="M3" s="78" t="s">
        <v>17</v>
      </c>
      <c r="N3" s="77" t="s">
        <v>27</v>
      </c>
      <c r="O3" s="74" t="s">
        <v>3</v>
      </c>
      <c r="P3" s="112" t="s">
        <v>4</v>
      </c>
      <c r="Q3" s="112" t="s">
        <v>94</v>
      </c>
      <c r="R3" s="113" t="s">
        <v>5</v>
      </c>
      <c r="S3" s="113" t="s">
        <v>6</v>
      </c>
      <c r="T3" s="113" t="s">
        <v>7</v>
      </c>
      <c r="U3" s="114" t="s">
        <v>8</v>
      </c>
      <c r="V3" s="113" t="s">
        <v>51</v>
      </c>
      <c r="W3" s="113" t="s">
        <v>9</v>
      </c>
      <c r="X3" s="113" t="s">
        <v>10</v>
      </c>
      <c r="Y3" s="130" t="s">
        <v>71</v>
      </c>
      <c r="Z3" s="115" t="s">
        <v>11</v>
      </c>
      <c r="AA3" s="116" t="s">
        <v>69</v>
      </c>
      <c r="AB3" s="112" t="s">
        <v>70</v>
      </c>
      <c r="AC3" s="73" t="s">
        <v>652</v>
      </c>
      <c r="AD3" s="73" t="s">
        <v>100</v>
      </c>
      <c r="AE3" s="73" t="s">
        <v>101</v>
      </c>
      <c r="AF3" s="73" t="s">
        <v>12</v>
      </c>
      <c r="AG3" s="77" t="s">
        <v>13</v>
      </c>
      <c r="AH3" s="152" t="s">
        <v>14</v>
      </c>
    </row>
    <row r="4" spans="1:35" s="220" customFormat="1" x14ac:dyDescent="0.25">
      <c r="A4" s="176">
        <v>46027</v>
      </c>
      <c r="B4" s="275" t="s">
        <v>658</v>
      </c>
      <c r="C4" s="180">
        <v>1</v>
      </c>
      <c r="D4" s="194"/>
      <c r="E4" s="180"/>
      <c r="F4" s="194"/>
      <c r="G4" s="194"/>
      <c r="H4" s="194"/>
      <c r="I4" s="195"/>
      <c r="J4" s="195"/>
      <c r="K4" s="174" t="s">
        <v>95</v>
      </c>
      <c r="L4" s="184" t="s">
        <v>96</v>
      </c>
      <c r="M4" s="187" t="s">
        <v>97</v>
      </c>
      <c r="N4" s="196">
        <v>1</v>
      </c>
      <c r="O4" s="197">
        <v>1</v>
      </c>
      <c r="P4" s="198">
        <v>0</v>
      </c>
      <c r="Q4" s="198">
        <v>0</v>
      </c>
      <c r="R4" s="199">
        <v>0</v>
      </c>
      <c r="S4" s="199">
        <v>0</v>
      </c>
      <c r="T4" s="199">
        <v>0</v>
      </c>
      <c r="U4" s="200">
        <v>0</v>
      </c>
      <c r="V4" s="199">
        <v>0</v>
      </c>
      <c r="W4" s="199">
        <v>0</v>
      </c>
      <c r="X4" s="199">
        <v>0</v>
      </c>
      <c r="Y4" s="201">
        <v>0</v>
      </c>
      <c r="Z4" s="202">
        <v>0</v>
      </c>
      <c r="AA4" s="203">
        <v>0</v>
      </c>
      <c r="AB4" s="198">
        <v>0</v>
      </c>
      <c r="AC4" s="175"/>
      <c r="AD4" s="240">
        <v>0.375</v>
      </c>
      <c r="AE4" s="240">
        <v>0.45833333333333331</v>
      </c>
      <c r="AF4" s="90" t="s">
        <v>98</v>
      </c>
      <c r="AG4" s="174" t="s">
        <v>99</v>
      </c>
      <c r="AH4" s="204"/>
    </row>
    <row r="5" spans="1:35" s="220" customFormat="1" x14ac:dyDescent="0.25">
      <c r="A5" s="176">
        <v>46027</v>
      </c>
      <c r="B5" s="184" t="s">
        <v>102</v>
      </c>
      <c r="C5" s="194"/>
      <c r="D5" s="194"/>
      <c r="E5" s="194"/>
      <c r="F5" s="180">
        <v>1</v>
      </c>
      <c r="G5" s="194"/>
      <c r="H5" s="194"/>
      <c r="I5" s="195"/>
      <c r="J5" s="195"/>
      <c r="K5" s="174" t="s">
        <v>103</v>
      </c>
      <c r="L5" s="184" t="s">
        <v>104</v>
      </c>
      <c r="M5" s="187" t="s">
        <v>105</v>
      </c>
      <c r="N5" s="196">
        <v>1</v>
      </c>
      <c r="O5" s="197">
        <v>1</v>
      </c>
      <c r="P5" s="198">
        <v>0</v>
      </c>
      <c r="Q5" s="198">
        <v>0</v>
      </c>
      <c r="R5" s="199">
        <v>0</v>
      </c>
      <c r="S5" s="199">
        <v>0</v>
      </c>
      <c r="T5" s="199">
        <v>0</v>
      </c>
      <c r="U5" s="200">
        <v>0</v>
      </c>
      <c r="V5" s="199">
        <v>0</v>
      </c>
      <c r="W5" s="199">
        <v>0</v>
      </c>
      <c r="X5" s="199">
        <v>0</v>
      </c>
      <c r="Y5" s="201">
        <v>0</v>
      </c>
      <c r="Z5" s="202">
        <v>0</v>
      </c>
      <c r="AA5" s="203">
        <v>0</v>
      </c>
      <c r="AB5" s="198">
        <v>0</v>
      </c>
      <c r="AC5" s="175"/>
      <c r="AD5" s="186"/>
      <c r="AE5" s="240">
        <v>0.48958333333333331</v>
      </c>
      <c r="AF5" s="174" t="s">
        <v>117</v>
      </c>
      <c r="AG5" s="174" t="s">
        <v>99</v>
      </c>
      <c r="AH5" s="204"/>
    </row>
    <row r="6" spans="1:35" s="220" customFormat="1" x14ac:dyDescent="0.25">
      <c r="A6" s="176">
        <v>46027</v>
      </c>
      <c r="B6" s="184" t="s">
        <v>107</v>
      </c>
      <c r="C6" s="194">
        <v>1</v>
      </c>
      <c r="D6" s="194"/>
      <c r="E6" s="194"/>
      <c r="F6" s="180"/>
      <c r="G6" s="194"/>
      <c r="H6" s="194"/>
      <c r="I6" s="195"/>
      <c r="J6" s="195"/>
      <c r="K6" s="174" t="s">
        <v>95</v>
      </c>
      <c r="L6" s="184" t="s">
        <v>108</v>
      </c>
      <c r="M6" s="187" t="s">
        <v>106</v>
      </c>
      <c r="N6" s="196">
        <v>1</v>
      </c>
      <c r="O6" s="197">
        <v>1</v>
      </c>
      <c r="P6" s="198">
        <v>0</v>
      </c>
      <c r="Q6" s="198">
        <v>0</v>
      </c>
      <c r="R6" s="199">
        <v>0</v>
      </c>
      <c r="S6" s="199">
        <v>0</v>
      </c>
      <c r="T6" s="199">
        <v>0</v>
      </c>
      <c r="U6" s="200">
        <v>0</v>
      </c>
      <c r="V6" s="199">
        <v>0</v>
      </c>
      <c r="W6" s="199">
        <v>0</v>
      </c>
      <c r="X6" s="199">
        <v>0</v>
      </c>
      <c r="Y6" s="201">
        <v>0</v>
      </c>
      <c r="Z6" s="202">
        <v>0</v>
      </c>
      <c r="AA6" s="203">
        <v>0</v>
      </c>
      <c r="AB6" s="198">
        <v>0</v>
      </c>
      <c r="AC6" s="175"/>
      <c r="AD6" s="240">
        <v>0.41666666666666669</v>
      </c>
      <c r="AE6" s="240">
        <v>0.47916666666666669</v>
      </c>
      <c r="AF6" s="90" t="s">
        <v>98</v>
      </c>
      <c r="AG6" s="174" t="s">
        <v>99</v>
      </c>
      <c r="AH6" s="204"/>
    </row>
    <row r="7" spans="1:35" s="220" customFormat="1" x14ac:dyDescent="0.25">
      <c r="A7" s="176">
        <v>46027</v>
      </c>
      <c r="B7" s="184" t="s">
        <v>109</v>
      </c>
      <c r="C7" s="194">
        <v>1</v>
      </c>
      <c r="D7" s="194"/>
      <c r="E7" s="194"/>
      <c r="F7" s="180"/>
      <c r="G7" s="194"/>
      <c r="H7" s="194"/>
      <c r="I7" s="195"/>
      <c r="J7" s="195"/>
      <c r="K7" s="174" t="s">
        <v>110</v>
      </c>
      <c r="L7" s="184" t="s">
        <v>111</v>
      </c>
      <c r="M7" s="187" t="s">
        <v>112</v>
      </c>
      <c r="N7" s="196">
        <v>1</v>
      </c>
      <c r="O7" s="197">
        <v>1</v>
      </c>
      <c r="P7" s="198">
        <v>0</v>
      </c>
      <c r="Q7" s="198">
        <v>0</v>
      </c>
      <c r="R7" s="199">
        <v>0</v>
      </c>
      <c r="S7" s="199">
        <v>0</v>
      </c>
      <c r="T7" s="199">
        <v>0</v>
      </c>
      <c r="U7" s="200">
        <v>0</v>
      </c>
      <c r="V7" s="199">
        <v>0</v>
      </c>
      <c r="W7" s="199">
        <v>0</v>
      </c>
      <c r="X7" s="199">
        <v>0</v>
      </c>
      <c r="Y7" s="201">
        <v>0</v>
      </c>
      <c r="Z7" s="202">
        <v>0</v>
      </c>
      <c r="AA7" s="203">
        <v>0</v>
      </c>
      <c r="AB7" s="198">
        <v>0</v>
      </c>
      <c r="AC7" s="175"/>
      <c r="AD7" s="240">
        <v>0.54166666666666663</v>
      </c>
      <c r="AE7" s="240">
        <v>0.64236111111111105</v>
      </c>
      <c r="AF7" s="90" t="s">
        <v>98</v>
      </c>
      <c r="AG7" s="174" t="s">
        <v>99</v>
      </c>
      <c r="AH7" s="204"/>
    </row>
    <row r="8" spans="1:35" s="220" customFormat="1" x14ac:dyDescent="0.25">
      <c r="A8" s="176">
        <v>46027</v>
      </c>
      <c r="B8" s="184" t="s">
        <v>113</v>
      </c>
      <c r="C8" s="180"/>
      <c r="D8" s="194"/>
      <c r="E8" s="194"/>
      <c r="F8" s="194">
        <v>3</v>
      </c>
      <c r="G8" s="194"/>
      <c r="H8" s="194"/>
      <c r="I8" s="195"/>
      <c r="J8" s="195"/>
      <c r="K8" s="174" t="s">
        <v>114</v>
      </c>
      <c r="L8" s="184" t="s">
        <v>115</v>
      </c>
      <c r="M8" s="187" t="s">
        <v>116</v>
      </c>
      <c r="N8" s="196">
        <v>3</v>
      </c>
      <c r="O8" s="197">
        <v>3</v>
      </c>
      <c r="P8" s="198">
        <v>0</v>
      </c>
      <c r="Q8" s="198">
        <v>0</v>
      </c>
      <c r="R8" s="199">
        <v>0</v>
      </c>
      <c r="S8" s="199">
        <v>0</v>
      </c>
      <c r="T8" s="199">
        <v>0</v>
      </c>
      <c r="U8" s="200">
        <v>0</v>
      </c>
      <c r="V8" s="199">
        <v>0</v>
      </c>
      <c r="W8" s="199">
        <v>0</v>
      </c>
      <c r="X8" s="199">
        <v>0</v>
      </c>
      <c r="Y8" s="201">
        <v>0</v>
      </c>
      <c r="Z8" s="202">
        <v>0</v>
      </c>
      <c r="AA8" s="203">
        <v>0</v>
      </c>
      <c r="AB8" s="198">
        <v>0</v>
      </c>
      <c r="AC8" s="175"/>
      <c r="AD8" s="186"/>
      <c r="AE8" s="240">
        <v>0.64236111111111105</v>
      </c>
      <c r="AF8" s="90" t="s">
        <v>117</v>
      </c>
      <c r="AG8" s="174" t="s">
        <v>99</v>
      </c>
      <c r="AH8" s="204"/>
    </row>
    <row r="9" spans="1:35" s="220" customFormat="1" x14ac:dyDescent="0.25">
      <c r="A9" s="176">
        <v>46027</v>
      </c>
      <c r="B9" s="184" t="s">
        <v>118</v>
      </c>
      <c r="C9" s="180"/>
      <c r="D9" s="194"/>
      <c r="E9" s="194"/>
      <c r="F9" s="194">
        <v>3</v>
      </c>
      <c r="G9" s="194"/>
      <c r="H9" s="194"/>
      <c r="I9" s="195"/>
      <c r="J9" s="195"/>
      <c r="K9" s="174" t="s">
        <v>114</v>
      </c>
      <c r="L9" s="184" t="s">
        <v>115</v>
      </c>
      <c r="M9" s="187" t="s">
        <v>119</v>
      </c>
      <c r="N9" s="196">
        <v>3</v>
      </c>
      <c r="O9" s="197">
        <v>3</v>
      </c>
      <c r="P9" s="198">
        <v>0</v>
      </c>
      <c r="Q9" s="198">
        <v>0</v>
      </c>
      <c r="R9" s="199">
        <v>0</v>
      </c>
      <c r="S9" s="199">
        <v>0</v>
      </c>
      <c r="T9" s="199">
        <v>0</v>
      </c>
      <c r="U9" s="200">
        <v>0</v>
      </c>
      <c r="V9" s="199">
        <v>0</v>
      </c>
      <c r="W9" s="199">
        <v>0</v>
      </c>
      <c r="X9" s="199">
        <v>0</v>
      </c>
      <c r="Y9" s="201">
        <v>0</v>
      </c>
      <c r="Z9" s="202">
        <v>0</v>
      </c>
      <c r="AA9" s="203">
        <v>0</v>
      </c>
      <c r="AB9" s="198">
        <v>0</v>
      </c>
      <c r="AC9" s="175"/>
      <c r="AD9" s="240">
        <v>0.69444444444444453</v>
      </c>
      <c r="AE9" s="240">
        <v>0.6777777777777777</v>
      </c>
      <c r="AF9" s="90" t="s">
        <v>98</v>
      </c>
      <c r="AG9" s="174" t="s">
        <v>99</v>
      </c>
      <c r="AH9" s="204"/>
    </row>
    <row r="10" spans="1:35" s="220" customFormat="1" x14ac:dyDescent="0.25">
      <c r="A10" s="176">
        <v>46027</v>
      </c>
      <c r="B10" s="184" t="s">
        <v>120</v>
      </c>
      <c r="C10" s="180"/>
      <c r="D10" s="194"/>
      <c r="E10" s="194"/>
      <c r="F10" s="194">
        <v>1</v>
      </c>
      <c r="G10" s="194"/>
      <c r="H10" s="194"/>
      <c r="I10" s="195"/>
      <c r="J10" s="195"/>
      <c r="K10" s="174" t="s">
        <v>121</v>
      </c>
      <c r="L10" s="184" t="s">
        <v>122</v>
      </c>
      <c r="M10" s="187" t="s">
        <v>123</v>
      </c>
      <c r="N10" s="196">
        <v>1</v>
      </c>
      <c r="O10" s="197">
        <v>1</v>
      </c>
      <c r="P10" s="198">
        <v>0</v>
      </c>
      <c r="Q10" s="198">
        <v>0</v>
      </c>
      <c r="R10" s="199">
        <v>0</v>
      </c>
      <c r="S10" s="199">
        <v>0</v>
      </c>
      <c r="T10" s="199">
        <v>0</v>
      </c>
      <c r="U10" s="200">
        <v>0</v>
      </c>
      <c r="V10" s="199">
        <v>0</v>
      </c>
      <c r="W10" s="199">
        <v>0</v>
      </c>
      <c r="X10" s="199">
        <v>0</v>
      </c>
      <c r="Y10" s="201">
        <v>0</v>
      </c>
      <c r="Z10" s="202">
        <v>0</v>
      </c>
      <c r="AA10" s="203">
        <v>0</v>
      </c>
      <c r="AB10" s="198">
        <v>0</v>
      </c>
      <c r="AC10" s="175"/>
      <c r="AD10" s="240">
        <v>0.58333333333333337</v>
      </c>
      <c r="AE10" s="240">
        <v>0.70486111111111116</v>
      </c>
      <c r="AF10" s="90" t="s">
        <v>98</v>
      </c>
      <c r="AG10" s="174" t="s">
        <v>99</v>
      </c>
      <c r="AH10" s="204"/>
    </row>
    <row r="11" spans="1:35" s="220" customFormat="1" x14ac:dyDescent="0.25">
      <c r="A11" s="176">
        <v>46027</v>
      </c>
      <c r="B11" s="184" t="s">
        <v>124</v>
      </c>
      <c r="C11" s="180"/>
      <c r="D11" s="194"/>
      <c r="E11" s="194"/>
      <c r="F11" s="194">
        <v>1</v>
      </c>
      <c r="G11" s="194"/>
      <c r="H11" s="194"/>
      <c r="I11" s="195"/>
      <c r="J11" s="195"/>
      <c r="K11" s="174" t="s">
        <v>125</v>
      </c>
      <c r="L11" s="184" t="s">
        <v>126</v>
      </c>
      <c r="M11" s="187" t="s">
        <v>127</v>
      </c>
      <c r="N11" s="196">
        <v>1</v>
      </c>
      <c r="O11" s="197">
        <v>1</v>
      </c>
      <c r="P11" s="198">
        <v>0</v>
      </c>
      <c r="Q11" s="198">
        <v>0</v>
      </c>
      <c r="R11" s="199">
        <v>0</v>
      </c>
      <c r="S11" s="199">
        <v>0</v>
      </c>
      <c r="T11" s="199">
        <v>0</v>
      </c>
      <c r="U11" s="200">
        <v>0</v>
      </c>
      <c r="V11" s="199">
        <v>0</v>
      </c>
      <c r="W11" s="199">
        <v>0</v>
      </c>
      <c r="X11" s="199">
        <v>0</v>
      </c>
      <c r="Y11" s="201">
        <v>0</v>
      </c>
      <c r="Z11" s="202">
        <v>0</v>
      </c>
      <c r="AA11" s="203">
        <v>0</v>
      </c>
      <c r="AB11" s="198">
        <v>0</v>
      </c>
      <c r="AC11" s="175"/>
      <c r="AD11" s="186"/>
      <c r="AE11" s="240">
        <v>0.71250000000000002</v>
      </c>
      <c r="AF11" s="90" t="s">
        <v>98</v>
      </c>
      <c r="AG11" s="174" t="s">
        <v>99</v>
      </c>
      <c r="AH11" s="204" t="s">
        <v>128</v>
      </c>
    </row>
    <row r="12" spans="1:35" s="220" customFormat="1" x14ac:dyDescent="0.25">
      <c r="A12" s="176">
        <v>46027</v>
      </c>
      <c r="B12" s="184" t="s">
        <v>130</v>
      </c>
      <c r="C12" s="194"/>
      <c r="D12" s="194"/>
      <c r="E12" s="194"/>
      <c r="F12" s="180">
        <v>1</v>
      </c>
      <c r="G12" s="194"/>
      <c r="H12" s="194"/>
      <c r="I12" s="195"/>
      <c r="J12" s="195"/>
      <c r="K12" s="174" t="s">
        <v>129</v>
      </c>
      <c r="L12" s="184" t="s">
        <v>131</v>
      </c>
      <c r="M12" s="187" t="s">
        <v>132</v>
      </c>
      <c r="N12" s="196">
        <v>1</v>
      </c>
      <c r="O12" s="197">
        <v>1</v>
      </c>
      <c r="P12" s="198">
        <v>0</v>
      </c>
      <c r="Q12" s="198">
        <v>0</v>
      </c>
      <c r="R12" s="199">
        <v>0</v>
      </c>
      <c r="S12" s="199">
        <v>0</v>
      </c>
      <c r="T12" s="199">
        <v>0</v>
      </c>
      <c r="U12" s="200">
        <v>0</v>
      </c>
      <c r="V12" s="199">
        <v>0</v>
      </c>
      <c r="W12" s="199">
        <v>0</v>
      </c>
      <c r="X12" s="199">
        <v>0</v>
      </c>
      <c r="Y12" s="201">
        <v>0</v>
      </c>
      <c r="Z12" s="202">
        <v>0</v>
      </c>
      <c r="AA12" s="203">
        <v>0</v>
      </c>
      <c r="AB12" s="198">
        <v>0</v>
      </c>
      <c r="AC12" s="175"/>
      <c r="AD12" s="240">
        <v>0.67361111111111116</v>
      </c>
      <c r="AE12" s="240">
        <v>0.72916666666666663</v>
      </c>
      <c r="AF12" s="90" t="s">
        <v>99</v>
      </c>
      <c r="AG12" s="174" t="s">
        <v>99</v>
      </c>
      <c r="AH12" s="205"/>
    </row>
    <row r="13" spans="1:35" s="220" customFormat="1" x14ac:dyDescent="0.25">
      <c r="A13" s="176">
        <v>46027</v>
      </c>
      <c r="B13" s="184" t="s">
        <v>133</v>
      </c>
      <c r="C13" s="180"/>
      <c r="D13" s="194"/>
      <c r="E13" s="194"/>
      <c r="F13" s="194">
        <v>2</v>
      </c>
      <c r="G13" s="194"/>
      <c r="H13" s="194"/>
      <c r="I13" s="195"/>
      <c r="J13" s="195"/>
      <c r="K13" s="174" t="s">
        <v>134</v>
      </c>
      <c r="L13" s="184" t="s">
        <v>135</v>
      </c>
      <c r="M13" s="187" t="s">
        <v>136</v>
      </c>
      <c r="N13" s="196">
        <v>2</v>
      </c>
      <c r="O13" s="197">
        <v>2</v>
      </c>
      <c r="P13" s="198">
        <v>0</v>
      </c>
      <c r="Q13" s="198">
        <v>0</v>
      </c>
      <c r="R13" s="199">
        <v>0</v>
      </c>
      <c r="S13" s="199">
        <v>0</v>
      </c>
      <c r="T13" s="199">
        <v>0</v>
      </c>
      <c r="U13" s="200">
        <v>0</v>
      </c>
      <c r="V13" s="199">
        <v>0</v>
      </c>
      <c r="W13" s="199">
        <v>0</v>
      </c>
      <c r="X13" s="199">
        <v>0</v>
      </c>
      <c r="Y13" s="201">
        <v>0</v>
      </c>
      <c r="Z13" s="202">
        <v>0</v>
      </c>
      <c r="AA13" s="203">
        <v>0</v>
      </c>
      <c r="AB13" s="198">
        <v>0</v>
      </c>
      <c r="AC13" s="175"/>
      <c r="AD13" s="240">
        <v>0.41666666666666669</v>
      </c>
      <c r="AE13" s="240">
        <v>0.72916666666666663</v>
      </c>
      <c r="AF13" s="90" t="s">
        <v>98</v>
      </c>
      <c r="AG13" s="174" t="s">
        <v>99</v>
      </c>
      <c r="AH13" s="205"/>
    </row>
    <row r="14" spans="1:35" s="220" customFormat="1" x14ac:dyDescent="0.25">
      <c r="A14" s="176">
        <v>46027</v>
      </c>
      <c r="B14" s="184" t="s">
        <v>137</v>
      </c>
      <c r="C14" s="194"/>
      <c r="D14" s="194"/>
      <c r="E14" s="194"/>
      <c r="F14" s="180">
        <v>3</v>
      </c>
      <c r="G14" s="194"/>
      <c r="H14" s="194"/>
      <c r="I14" s="195"/>
      <c r="J14" s="195"/>
      <c r="K14" s="174" t="s">
        <v>138</v>
      </c>
      <c r="L14" s="184" t="s">
        <v>139</v>
      </c>
      <c r="M14" s="187" t="s">
        <v>140</v>
      </c>
      <c r="N14" s="196">
        <v>3</v>
      </c>
      <c r="O14" s="197">
        <v>3</v>
      </c>
      <c r="P14" s="198">
        <v>0</v>
      </c>
      <c r="Q14" s="198">
        <v>0</v>
      </c>
      <c r="R14" s="199">
        <v>0</v>
      </c>
      <c r="S14" s="199">
        <v>0</v>
      </c>
      <c r="T14" s="199">
        <v>0</v>
      </c>
      <c r="U14" s="200">
        <v>0</v>
      </c>
      <c r="V14" s="199">
        <v>0</v>
      </c>
      <c r="W14" s="199">
        <v>0</v>
      </c>
      <c r="X14" s="199">
        <v>0</v>
      </c>
      <c r="Y14" s="201">
        <v>0</v>
      </c>
      <c r="Z14" s="202">
        <v>0</v>
      </c>
      <c r="AA14" s="203">
        <v>0</v>
      </c>
      <c r="AB14" s="198">
        <v>0</v>
      </c>
      <c r="AC14" s="175"/>
      <c r="AD14" s="240">
        <v>0.5708333333333333</v>
      </c>
      <c r="AE14" s="240">
        <v>0.6791666666666667</v>
      </c>
      <c r="AF14" s="90" t="s">
        <v>117</v>
      </c>
      <c r="AG14" s="174" t="s">
        <v>99</v>
      </c>
      <c r="AH14" s="205"/>
    </row>
    <row r="15" spans="1:35" s="86" customFormat="1" x14ac:dyDescent="0.25">
      <c r="A15" s="176">
        <v>46027</v>
      </c>
      <c r="B15" s="184" t="s">
        <v>141</v>
      </c>
      <c r="C15" s="194"/>
      <c r="D15" s="194"/>
      <c r="E15" s="194"/>
      <c r="F15" s="194">
        <v>1</v>
      </c>
      <c r="G15" s="194"/>
      <c r="H15" s="194"/>
      <c r="I15" s="180"/>
      <c r="J15" s="195"/>
      <c r="K15" s="174" t="s">
        <v>142</v>
      </c>
      <c r="L15" s="184" t="s">
        <v>143</v>
      </c>
      <c r="M15" s="187" t="s">
        <v>144</v>
      </c>
      <c r="N15" s="196">
        <v>1</v>
      </c>
      <c r="O15" s="197">
        <v>1</v>
      </c>
      <c r="P15" s="198">
        <v>0</v>
      </c>
      <c r="Q15" s="198">
        <v>0</v>
      </c>
      <c r="R15" s="199">
        <v>0</v>
      </c>
      <c r="S15" s="199">
        <v>0</v>
      </c>
      <c r="T15" s="199">
        <v>0</v>
      </c>
      <c r="U15" s="200">
        <v>0</v>
      </c>
      <c r="V15" s="199">
        <v>0</v>
      </c>
      <c r="W15" s="199">
        <v>0</v>
      </c>
      <c r="X15" s="199">
        <v>0</v>
      </c>
      <c r="Y15" s="201">
        <v>0</v>
      </c>
      <c r="Z15" s="202">
        <v>0</v>
      </c>
      <c r="AA15" s="203">
        <v>0</v>
      </c>
      <c r="AB15" s="198">
        <v>0</v>
      </c>
      <c r="AC15" s="175"/>
      <c r="AD15" s="186"/>
      <c r="AE15" s="186"/>
      <c r="AF15" s="90" t="s">
        <v>99</v>
      </c>
      <c r="AG15" s="174" t="s">
        <v>99</v>
      </c>
      <c r="AH15" s="205"/>
    </row>
    <row r="16" spans="1:35" s="137" customFormat="1" ht="18" customHeight="1" x14ac:dyDescent="0.25">
      <c r="A16" s="176">
        <v>46028</v>
      </c>
      <c r="B16" s="184" t="s">
        <v>146</v>
      </c>
      <c r="C16" s="181">
        <v>1</v>
      </c>
      <c r="D16" s="181"/>
      <c r="E16" s="181"/>
      <c r="F16" s="181"/>
      <c r="G16" s="181"/>
      <c r="H16" s="181"/>
      <c r="I16" s="181"/>
      <c r="J16" s="181"/>
      <c r="K16" s="175" t="s">
        <v>145</v>
      </c>
      <c r="L16" s="184" t="s">
        <v>147</v>
      </c>
      <c r="M16" s="187" t="s">
        <v>148</v>
      </c>
      <c r="N16" s="196">
        <v>1</v>
      </c>
      <c r="O16" s="197">
        <v>1</v>
      </c>
      <c r="P16" s="198">
        <v>0</v>
      </c>
      <c r="Q16" s="198">
        <v>0</v>
      </c>
      <c r="R16" s="199">
        <v>0</v>
      </c>
      <c r="S16" s="199">
        <v>0</v>
      </c>
      <c r="T16" s="199">
        <v>0</v>
      </c>
      <c r="U16" s="200">
        <v>0</v>
      </c>
      <c r="V16" s="199">
        <v>0</v>
      </c>
      <c r="W16" s="199">
        <v>0</v>
      </c>
      <c r="X16" s="199">
        <v>0</v>
      </c>
      <c r="Y16" s="201">
        <v>0</v>
      </c>
      <c r="Z16" s="202">
        <v>0</v>
      </c>
      <c r="AA16" s="203">
        <v>0</v>
      </c>
      <c r="AB16" s="198">
        <v>0</v>
      </c>
      <c r="AC16" s="175"/>
      <c r="AD16" s="240">
        <v>0.39583333333333331</v>
      </c>
      <c r="AE16" s="240">
        <v>0.45833333333333331</v>
      </c>
      <c r="AF16" s="90" t="s">
        <v>98</v>
      </c>
      <c r="AG16" s="174" t="s">
        <v>99</v>
      </c>
      <c r="AH16" s="188"/>
    </row>
    <row r="17" spans="1:34" s="137" customFormat="1" ht="18" customHeight="1" x14ac:dyDescent="0.25">
      <c r="A17" s="176">
        <v>46028</v>
      </c>
      <c r="B17" s="184" t="s">
        <v>149</v>
      </c>
      <c r="C17" s="181"/>
      <c r="D17" s="181"/>
      <c r="E17" s="181"/>
      <c r="F17" s="181">
        <v>1</v>
      </c>
      <c r="G17" s="181"/>
      <c r="H17" s="181"/>
      <c r="I17" s="181"/>
      <c r="J17" s="181"/>
      <c r="K17" s="175" t="s">
        <v>150</v>
      </c>
      <c r="L17" s="184" t="s">
        <v>151</v>
      </c>
      <c r="M17" s="187" t="s">
        <v>152</v>
      </c>
      <c r="N17" s="196">
        <v>1</v>
      </c>
      <c r="O17" s="197">
        <v>1</v>
      </c>
      <c r="P17" s="198">
        <v>0</v>
      </c>
      <c r="Q17" s="198">
        <v>0</v>
      </c>
      <c r="R17" s="199">
        <v>0</v>
      </c>
      <c r="S17" s="199">
        <v>0</v>
      </c>
      <c r="T17" s="199">
        <v>0</v>
      </c>
      <c r="U17" s="200">
        <v>0</v>
      </c>
      <c r="V17" s="199">
        <v>0</v>
      </c>
      <c r="W17" s="199">
        <v>0</v>
      </c>
      <c r="X17" s="199">
        <v>0</v>
      </c>
      <c r="Y17" s="201">
        <v>0</v>
      </c>
      <c r="Z17" s="202">
        <v>0</v>
      </c>
      <c r="AA17" s="203">
        <v>0</v>
      </c>
      <c r="AB17" s="198">
        <v>0</v>
      </c>
      <c r="AC17" s="175"/>
      <c r="AD17" s="240">
        <v>0.40277777777777773</v>
      </c>
      <c r="AE17" s="240">
        <v>0.47916666666666669</v>
      </c>
      <c r="AF17" s="90" t="s">
        <v>98</v>
      </c>
      <c r="AG17" s="174" t="s">
        <v>99</v>
      </c>
      <c r="AH17" s="188"/>
    </row>
    <row r="18" spans="1:34" s="137" customFormat="1" ht="18" customHeight="1" x14ac:dyDescent="0.25">
      <c r="A18" s="176">
        <v>46028</v>
      </c>
      <c r="B18" s="184" t="s">
        <v>153</v>
      </c>
      <c r="C18" s="181">
        <v>1</v>
      </c>
      <c r="D18" s="181"/>
      <c r="E18" s="181">
        <v>1</v>
      </c>
      <c r="F18" s="181"/>
      <c r="G18" s="181"/>
      <c r="H18" s="181"/>
      <c r="I18" s="181"/>
      <c r="J18" s="181"/>
      <c r="K18" s="175" t="s">
        <v>110</v>
      </c>
      <c r="L18" s="184" t="s">
        <v>111</v>
      </c>
      <c r="M18" s="187" t="s">
        <v>154</v>
      </c>
      <c r="N18" s="196">
        <v>1</v>
      </c>
      <c r="O18" s="197">
        <v>1</v>
      </c>
      <c r="P18" s="198">
        <v>0</v>
      </c>
      <c r="Q18" s="198">
        <v>0</v>
      </c>
      <c r="R18" s="199">
        <v>0</v>
      </c>
      <c r="S18" s="199">
        <v>0</v>
      </c>
      <c r="T18" s="199">
        <v>0</v>
      </c>
      <c r="U18" s="200">
        <v>0</v>
      </c>
      <c r="V18" s="199">
        <v>0</v>
      </c>
      <c r="W18" s="199">
        <v>0</v>
      </c>
      <c r="X18" s="199">
        <v>0</v>
      </c>
      <c r="Y18" s="201">
        <v>0</v>
      </c>
      <c r="Z18" s="202">
        <v>0</v>
      </c>
      <c r="AA18" s="203">
        <v>0</v>
      </c>
      <c r="AB18" s="198">
        <v>0</v>
      </c>
      <c r="AC18" s="175"/>
      <c r="AD18" s="186"/>
      <c r="AE18" s="240">
        <v>0.54513888888888895</v>
      </c>
      <c r="AF18" s="189"/>
      <c r="AG18" s="174" t="s">
        <v>99</v>
      </c>
      <c r="AH18" s="188" t="s">
        <v>155</v>
      </c>
    </row>
    <row r="19" spans="1:34" s="137" customFormat="1" ht="18" customHeight="1" x14ac:dyDescent="0.25">
      <c r="A19" s="176">
        <v>46028</v>
      </c>
      <c r="B19" s="184" t="s">
        <v>156</v>
      </c>
      <c r="C19" s="181"/>
      <c r="D19" s="181"/>
      <c r="E19" s="181"/>
      <c r="F19" s="181">
        <v>1</v>
      </c>
      <c r="G19" s="181"/>
      <c r="H19" s="181"/>
      <c r="I19" s="181"/>
      <c r="J19" s="181"/>
      <c r="K19" s="175" t="s">
        <v>157</v>
      </c>
      <c r="L19" s="184" t="s">
        <v>158</v>
      </c>
      <c r="M19" s="187" t="s">
        <v>159</v>
      </c>
      <c r="N19" s="196">
        <v>1</v>
      </c>
      <c r="O19" s="197">
        <v>1</v>
      </c>
      <c r="P19" s="198">
        <v>0</v>
      </c>
      <c r="Q19" s="198">
        <v>0</v>
      </c>
      <c r="R19" s="199">
        <v>0</v>
      </c>
      <c r="S19" s="199">
        <v>0</v>
      </c>
      <c r="T19" s="199">
        <v>0</v>
      </c>
      <c r="U19" s="200">
        <v>0</v>
      </c>
      <c r="V19" s="199">
        <v>0</v>
      </c>
      <c r="W19" s="199">
        <v>0</v>
      </c>
      <c r="X19" s="199">
        <v>0</v>
      </c>
      <c r="Y19" s="201">
        <v>0</v>
      </c>
      <c r="Z19" s="202">
        <v>0</v>
      </c>
      <c r="AA19" s="203">
        <v>0</v>
      </c>
      <c r="AB19" s="198">
        <v>0</v>
      </c>
      <c r="AC19" s="175"/>
      <c r="AD19" s="240">
        <v>0.55555555555555558</v>
      </c>
      <c r="AE19" s="240">
        <v>0.58194444444444449</v>
      </c>
      <c r="AF19" s="189" t="s">
        <v>98</v>
      </c>
      <c r="AG19" s="174" t="s">
        <v>99</v>
      </c>
      <c r="AH19" s="188"/>
    </row>
    <row r="20" spans="1:34" s="137" customFormat="1" ht="18" customHeight="1" x14ac:dyDescent="0.25">
      <c r="A20" s="176">
        <v>46028</v>
      </c>
      <c r="B20" s="184" t="s">
        <v>160</v>
      </c>
      <c r="C20" s="181"/>
      <c r="D20" s="181"/>
      <c r="E20" s="181"/>
      <c r="F20" s="181">
        <v>1</v>
      </c>
      <c r="G20" s="181"/>
      <c r="H20" s="181"/>
      <c r="I20" s="181"/>
      <c r="J20" s="181"/>
      <c r="K20" s="175" t="s">
        <v>161</v>
      </c>
      <c r="L20" s="184" t="s">
        <v>162</v>
      </c>
      <c r="M20" s="187" t="s">
        <v>163</v>
      </c>
      <c r="N20" s="196">
        <v>1</v>
      </c>
      <c r="O20" s="197">
        <v>1</v>
      </c>
      <c r="P20" s="198">
        <v>0</v>
      </c>
      <c r="Q20" s="198">
        <v>0</v>
      </c>
      <c r="R20" s="199">
        <v>0</v>
      </c>
      <c r="S20" s="199">
        <v>0</v>
      </c>
      <c r="T20" s="199">
        <v>0</v>
      </c>
      <c r="U20" s="200">
        <v>0</v>
      </c>
      <c r="V20" s="199">
        <v>0</v>
      </c>
      <c r="W20" s="199">
        <v>0</v>
      </c>
      <c r="X20" s="199">
        <v>0</v>
      </c>
      <c r="Y20" s="201">
        <v>0</v>
      </c>
      <c r="Z20" s="202">
        <v>0</v>
      </c>
      <c r="AA20" s="203">
        <v>0</v>
      </c>
      <c r="AB20" s="198">
        <v>0</v>
      </c>
      <c r="AC20" s="175"/>
      <c r="AD20" s="186"/>
      <c r="AE20" s="240">
        <v>0.65625</v>
      </c>
      <c r="AF20" s="189" t="s">
        <v>98</v>
      </c>
      <c r="AG20" s="174" t="s">
        <v>99</v>
      </c>
      <c r="AH20" s="188"/>
    </row>
    <row r="21" spans="1:34" s="262" customFormat="1" x14ac:dyDescent="0.25">
      <c r="A21" s="243">
        <v>46028</v>
      </c>
      <c r="B21" s="244" t="s">
        <v>164</v>
      </c>
      <c r="C21" s="245"/>
      <c r="D21" s="245"/>
      <c r="E21" s="245"/>
      <c r="F21" s="245"/>
      <c r="G21" s="245"/>
      <c r="H21" s="245"/>
      <c r="I21" s="245">
        <v>7</v>
      </c>
      <c r="J21" s="245"/>
      <c r="K21" s="246" t="s">
        <v>165</v>
      </c>
      <c r="L21" s="247" t="s">
        <v>166</v>
      </c>
      <c r="M21" s="248" t="s">
        <v>167</v>
      </c>
      <c r="N21" s="249">
        <v>7</v>
      </c>
      <c r="O21" s="250">
        <v>6</v>
      </c>
      <c r="P21" s="251">
        <v>1</v>
      </c>
      <c r="Q21" s="251">
        <v>0</v>
      </c>
      <c r="R21" s="252">
        <v>1</v>
      </c>
      <c r="S21" s="252">
        <v>0</v>
      </c>
      <c r="T21" s="252">
        <v>0</v>
      </c>
      <c r="U21" s="253">
        <v>0</v>
      </c>
      <c r="V21" s="252">
        <v>0</v>
      </c>
      <c r="W21" s="252">
        <v>0</v>
      </c>
      <c r="X21" s="252">
        <v>0</v>
      </c>
      <c r="Y21" s="254">
        <v>0</v>
      </c>
      <c r="Z21" s="255">
        <v>0</v>
      </c>
      <c r="AA21" s="256">
        <v>0</v>
      </c>
      <c r="AB21" s="251">
        <v>1</v>
      </c>
      <c r="AC21" s="246"/>
      <c r="AD21" s="257"/>
      <c r="AE21" s="258">
        <v>0.66666666666666663</v>
      </c>
      <c r="AF21" s="259" t="s">
        <v>168</v>
      </c>
      <c r="AG21" s="260" t="s">
        <v>99</v>
      </c>
      <c r="AH21" s="261" t="s">
        <v>169</v>
      </c>
    </row>
    <row r="22" spans="1:34" s="137" customFormat="1" x14ac:dyDescent="0.25">
      <c r="A22" s="176">
        <v>46028</v>
      </c>
      <c r="B22" s="184" t="s">
        <v>170</v>
      </c>
      <c r="C22" s="181"/>
      <c r="D22" s="181"/>
      <c r="E22" s="181"/>
      <c r="F22" s="181"/>
      <c r="G22" s="181"/>
      <c r="H22" s="181"/>
      <c r="I22" s="181">
        <v>1</v>
      </c>
      <c r="J22" s="181"/>
      <c r="K22" s="175" t="s">
        <v>171</v>
      </c>
      <c r="L22" s="184" t="s">
        <v>172</v>
      </c>
      <c r="M22" s="187"/>
      <c r="N22" s="196">
        <v>1</v>
      </c>
      <c r="O22" s="197">
        <v>1</v>
      </c>
      <c r="P22" s="198">
        <v>0</v>
      </c>
      <c r="Q22" s="198">
        <v>0</v>
      </c>
      <c r="R22" s="199">
        <v>0</v>
      </c>
      <c r="S22" s="199">
        <v>0</v>
      </c>
      <c r="T22" s="199">
        <v>0</v>
      </c>
      <c r="U22" s="200">
        <v>0</v>
      </c>
      <c r="V22" s="199">
        <v>0</v>
      </c>
      <c r="W22" s="199">
        <v>0</v>
      </c>
      <c r="X22" s="199">
        <v>0</v>
      </c>
      <c r="Y22" s="201">
        <v>0</v>
      </c>
      <c r="Z22" s="202">
        <v>0</v>
      </c>
      <c r="AA22" s="203">
        <v>0</v>
      </c>
      <c r="AB22" s="198">
        <v>0</v>
      </c>
      <c r="AC22" s="175"/>
      <c r="AD22" s="186"/>
      <c r="AE22" s="240">
        <v>0.6875</v>
      </c>
      <c r="AF22" s="189" t="s">
        <v>168</v>
      </c>
      <c r="AG22" s="174" t="s">
        <v>99</v>
      </c>
      <c r="AH22" s="188" t="s">
        <v>175</v>
      </c>
    </row>
    <row r="23" spans="1:34" s="137" customFormat="1" x14ac:dyDescent="0.25">
      <c r="A23" s="176">
        <v>46028</v>
      </c>
      <c r="B23" s="184" t="s">
        <v>173</v>
      </c>
      <c r="C23" s="181"/>
      <c r="D23" s="181"/>
      <c r="E23" s="181"/>
      <c r="F23" s="181"/>
      <c r="G23" s="181"/>
      <c r="H23" s="181"/>
      <c r="I23" s="181">
        <v>2</v>
      </c>
      <c r="J23" s="181"/>
      <c r="K23" s="175" t="s">
        <v>165</v>
      </c>
      <c r="L23" s="184" t="s">
        <v>166</v>
      </c>
      <c r="M23" s="187" t="s">
        <v>174</v>
      </c>
      <c r="N23" s="196">
        <v>2</v>
      </c>
      <c r="O23" s="197">
        <v>2</v>
      </c>
      <c r="P23" s="198">
        <v>0</v>
      </c>
      <c r="Q23" s="198">
        <v>0</v>
      </c>
      <c r="R23" s="199">
        <v>0</v>
      </c>
      <c r="S23" s="199">
        <v>0</v>
      </c>
      <c r="T23" s="199">
        <v>0</v>
      </c>
      <c r="U23" s="200">
        <v>0</v>
      </c>
      <c r="V23" s="199">
        <v>0</v>
      </c>
      <c r="W23" s="199">
        <v>0</v>
      </c>
      <c r="X23" s="199">
        <v>0</v>
      </c>
      <c r="Y23" s="201">
        <v>0</v>
      </c>
      <c r="Z23" s="202">
        <v>0</v>
      </c>
      <c r="AA23" s="203">
        <v>0</v>
      </c>
      <c r="AB23" s="198">
        <v>0</v>
      </c>
      <c r="AC23" s="175"/>
      <c r="AD23" s="186"/>
      <c r="AE23" s="240">
        <v>0.70833333333333337</v>
      </c>
      <c r="AF23" s="189" t="s">
        <v>168</v>
      </c>
      <c r="AG23" s="174" t="s">
        <v>99</v>
      </c>
      <c r="AH23" s="188" t="s">
        <v>175</v>
      </c>
    </row>
    <row r="24" spans="1:34" s="137" customFormat="1" x14ac:dyDescent="0.25">
      <c r="A24" s="176">
        <v>46028</v>
      </c>
      <c r="B24" s="184" t="s">
        <v>176</v>
      </c>
      <c r="C24" s="181"/>
      <c r="D24" s="181"/>
      <c r="E24" s="181"/>
      <c r="F24" s="181">
        <v>1</v>
      </c>
      <c r="G24" s="181"/>
      <c r="H24" s="181"/>
      <c r="I24" s="181"/>
      <c r="J24" s="181"/>
      <c r="K24" s="175" t="s">
        <v>177</v>
      </c>
      <c r="L24" s="184" t="s">
        <v>178</v>
      </c>
      <c r="M24" s="187" t="s">
        <v>179</v>
      </c>
      <c r="N24" s="196">
        <v>1</v>
      </c>
      <c r="O24" s="197">
        <v>1</v>
      </c>
      <c r="P24" s="198">
        <v>0</v>
      </c>
      <c r="Q24" s="198">
        <v>0</v>
      </c>
      <c r="R24" s="199">
        <v>0</v>
      </c>
      <c r="S24" s="199">
        <v>0</v>
      </c>
      <c r="T24" s="199">
        <v>0</v>
      </c>
      <c r="U24" s="200">
        <v>0</v>
      </c>
      <c r="V24" s="199">
        <v>0</v>
      </c>
      <c r="W24" s="199">
        <v>0</v>
      </c>
      <c r="X24" s="199">
        <v>0</v>
      </c>
      <c r="Y24" s="201">
        <v>0</v>
      </c>
      <c r="Z24" s="202">
        <v>0</v>
      </c>
      <c r="AA24" s="203">
        <v>0</v>
      </c>
      <c r="AB24" s="198">
        <v>0</v>
      </c>
      <c r="AC24" s="175"/>
      <c r="AD24" s="240">
        <v>0.63888888888888895</v>
      </c>
      <c r="AE24" s="240">
        <v>0.70833333333333337</v>
      </c>
      <c r="AF24" s="189" t="s">
        <v>98</v>
      </c>
      <c r="AG24" s="174" t="s">
        <v>99</v>
      </c>
      <c r="AH24" s="188"/>
    </row>
    <row r="25" spans="1:34" s="137" customFormat="1" x14ac:dyDescent="0.25">
      <c r="A25" s="176">
        <v>46029</v>
      </c>
      <c r="B25" s="184" t="s">
        <v>180</v>
      </c>
      <c r="C25" s="181">
        <v>2</v>
      </c>
      <c r="D25" s="181"/>
      <c r="E25" s="181"/>
      <c r="F25" s="181"/>
      <c r="G25" s="181"/>
      <c r="H25" s="181"/>
      <c r="I25" s="181"/>
      <c r="J25" s="181"/>
      <c r="K25" s="175" t="s">
        <v>181</v>
      </c>
      <c r="L25" s="184" t="s">
        <v>182</v>
      </c>
      <c r="M25" s="187" t="s">
        <v>183</v>
      </c>
      <c r="N25" s="196">
        <v>2</v>
      </c>
      <c r="O25" s="197">
        <v>2</v>
      </c>
      <c r="P25" s="198">
        <v>0</v>
      </c>
      <c r="Q25" s="198">
        <v>0</v>
      </c>
      <c r="R25" s="199">
        <v>0</v>
      </c>
      <c r="S25" s="199">
        <v>0</v>
      </c>
      <c r="T25" s="199">
        <v>0</v>
      </c>
      <c r="U25" s="200">
        <v>0</v>
      </c>
      <c r="V25" s="199">
        <v>0</v>
      </c>
      <c r="W25" s="199">
        <v>0</v>
      </c>
      <c r="X25" s="199">
        <v>0</v>
      </c>
      <c r="Y25" s="201">
        <v>0</v>
      </c>
      <c r="Z25" s="202">
        <v>0</v>
      </c>
      <c r="AA25" s="203">
        <v>0</v>
      </c>
      <c r="AB25" s="198">
        <v>0</v>
      </c>
      <c r="AC25" s="175"/>
      <c r="AD25" s="186"/>
      <c r="AE25" s="240">
        <v>0.45833333333333331</v>
      </c>
      <c r="AF25" s="189" t="s">
        <v>168</v>
      </c>
      <c r="AG25" s="174" t="s">
        <v>99</v>
      </c>
      <c r="AH25" s="188"/>
    </row>
    <row r="26" spans="1:34" s="137" customFormat="1" ht="18" customHeight="1" x14ac:dyDescent="0.25">
      <c r="A26" s="176">
        <v>46029</v>
      </c>
      <c r="B26" s="184" t="s">
        <v>184</v>
      </c>
      <c r="C26" s="181">
        <v>1</v>
      </c>
      <c r="D26" s="181"/>
      <c r="E26" s="181"/>
      <c r="F26" s="181"/>
      <c r="G26" s="181"/>
      <c r="H26" s="181"/>
      <c r="I26" s="181"/>
      <c r="J26" s="181"/>
      <c r="K26" s="175" t="s">
        <v>185</v>
      </c>
      <c r="L26" s="184" t="s">
        <v>186</v>
      </c>
      <c r="M26" s="187" t="s">
        <v>187</v>
      </c>
      <c r="N26" s="196">
        <v>1</v>
      </c>
      <c r="O26" s="197">
        <v>1</v>
      </c>
      <c r="P26" s="198">
        <v>0</v>
      </c>
      <c r="Q26" s="198">
        <v>0</v>
      </c>
      <c r="R26" s="199">
        <v>0</v>
      </c>
      <c r="S26" s="199">
        <v>0</v>
      </c>
      <c r="T26" s="199">
        <v>0</v>
      </c>
      <c r="U26" s="200">
        <v>0</v>
      </c>
      <c r="V26" s="199">
        <v>0</v>
      </c>
      <c r="W26" s="199">
        <v>0</v>
      </c>
      <c r="X26" s="199">
        <v>0</v>
      </c>
      <c r="Y26" s="201">
        <v>0</v>
      </c>
      <c r="Z26" s="202">
        <v>0</v>
      </c>
      <c r="AA26" s="203">
        <v>0</v>
      </c>
      <c r="AB26" s="198">
        <v>0</v>
      </c>
      <c r="AC26" s="175"/>
      <c r="AD26" s="186"/>
      <c r="AE26" s="240">
        <v>0.47222222222222227</v>
      </c>
      <c r="AF26" s="189" t="s">
        <v>99</v>
      </c>
      <c r="AG26" s="174" t="s">
        <v>99</v>
      </c>
      <c r="AH26" s="188"/>
    </row>
    <row r="27" spans="1:34" s="137" customFormat="1" ht="18" customHeight="1" x14ac:dyDescent="0.25">
      <c r="A27" s="176">
        <v>46029</v>
      </c>
      <c r="B27" s="177" t="s">
        <v>188</v>
      </c>
      <c r="C27" s="181">
        <v>1</v>
      </c>
      <c r="D27" s="181"/>
      <c r="E27" s="181"/>
      <c r="F27" s="181"/>
      <c r="G27" s="181"/>
      <c r="H27" s="181"/>
      <c r="I27" s="181"/>
      <c r="J27" s="181"/>
      <c r="K27" s="175" t="s">
        <v>189</v>
      </c>
      <c r="L27" s="184" t="s">
        <v>190</v>
      </c>
      <c r="M27" s="187" t="s">
        <v>191</v>
      </c>
      <c r="N27" s="196">
        <v>1</v>
      </c>
      <c r="O27" s="197">
        <v>1</v>
      </c>
      <c r="P27" s="198">
        <v>0</v>
      </c>
      <c r="Q27" s="198">
        <v>0</v>
      </c>
      <c r="R27" s="199">
        <v>0</v>
      </c>
      <c r="S27" s="199">
        <v>0</v>
      </c>
      <c r="T27" s="199">
        <v>0</v>
      </c>
      <c r="U27" s="200">
        <v>0</v>
      </c>
      <c r="V27" s="199">
        <v>0</v>
      </c>
      <c r="W27" s="199">
        <v>0</v>
      </c>
      <c r="X27" s="199">
        <v>0</v>
      </c>
      <c r="Y27" s="201">
        <v>0</v>
      </c>
      <c r="Z27" s="202">
        <v>0</v>
      </c>
      <c r="AA27" s="203">
        <v>0</v>
      </c>
      <c r="AB27" s="198">
        <v>0</v>
      </c>
      <c r="AC27" s="175"/>
      <c r="AD27" s="240">
        <v>0.49374999999999997</v>
      </c>
      <c r="AE27" s="240">
        <v>0.47222222222222227</v>
      </c>
      <c r="AF27" s="189" t="s">
        <v>117</v>
      </c>
      <c r="AG27" s="174" t="s">
        <v>99</v>
      </c>
      <c r="AH27" s="188"/>
    </row>
    <row r="28" spans="1:34" s="137" customFormat="1" ht="18" customHeight="1" x14ac:dyDescent="0.25">
      <c r="A28" s="176">
        <v>46029</v>
      </c>
      <c r="B28" s="177" t="s">
        <v>839</v>
      </c>
      <c r="C28" s="181"/>
      <c r="D28" s="181"/>
      <c r="E28" s="181"/>
      <c r="F28" s="181"/>
      <c r="G28" s="181"/>
      <c r="H28" s="181"/>
      <c r="I28" s="181">
        <v>2</v>
      </c>
      <c r="J28" s="181"/>
      <c r="K28" s="175" t="s">
        <v>192</v>
      </c>
      <c r="L28" s="184" t="s">
        <v>193</v>
      </c>
      <c r="M28" s="187" t="s">
        <v>194</v>
      </c>
      <c r="N28" s="196">
        <v>2</v>
      </c>
      <c r="O28" s="197">
        <v>2</v>
      </c>
      <c r="P28" s="198">
        <v>0</v>
      </c>
      <c r="Q28" s="198">
        <v>0</v>
      </c>
      <c r="R28" s="199">
        <v>0</v>
      </c>
      <c r="S28" s="199">
        <v>0</v>
      </c>
      <c r="T28" s="199">
        <v>0</v>
      </c>
      <c r="U28" s="200">
        <v>0</v>
      </c>
      <c r="V28" s="199">
        <v>0</v>
      </c>
      <c r="W28" s="199">
        <v>0</v>
      </c>
      <c r="X28" s="199">
        <v>0</v>
      </c>
      <c r="Y28" s="201">
        <v>0</v>
      </c>
      <c r="Z28" s="202">
        <v>0</v>
      </c>
      <c r="AA28" s="203">
        <v>0</v>
      </c>
      <c r="AB28" s="198">
        <v>0</v>
      </c>
      <c r="AC28" s="175"/>
      <c r="AD28" s="240">
        <v>0.4513888888888889</v>
      </c>
      <c r="AE28" s="240">
        <v>0.50347222222222221</v>
      </c>
      <c r="AF28" s="189" t="s">
        <v>117</v>
      </c>
      <c r="AG28" s="174" t="s">
        <v>99</v>
      </c>
      <c r="AH28" s="188"/>
    </row>
    <row r="29" spans="1:34" s="137" customFormat="1" ht="18" customHeight="1" x14ac:dyDescent="0.25">
      <c r="A29" s="176">
        <v>46029</v>
      </c>
      <c r="B29" s="184" t="s">
        <v>195</v>
      </c>
      <c r="C29" s="181"/>
      <c r="D29" s="181"/>
      <c r="E29" s="181"/>
      <c r="F29" s="181">
        <v>1</v>
      </c>
      <c r="G29" s="181"/>
      <c r="H29" s="181"/>
      <c r="I29" s="181"/>
      <c r="J29" s="181"/>
      <c r="K29" s="175" t="s">
        <v>150</v>
      </c>
      <c r="L29" s="184" t="s">
        <v>151</v>
      </c>
      <c r="M29" s="187" t="s">
        <v>196</v>
      </c>
      <c r="N29" s="196">
        <v>1</v>
      </c>
      <c r="O29" s="197">
        <v>1</v>
      </c>
      <c r="P29" s="198">
        <v>0</v>
      </c>
      <c r="Q29" s="198">
        <v>0</v>
      </c>
      <c r="R29" s="199">
        <v>0</v>
      </c>
      <c r="S29" s="199">
        <v>0</v>
      </c>
      <c r="T29" s="199">
        <v>0</v>
      </c>
      <c r="U29" s="200">
        <v>0</v>
      </c>
      <c r="V29" s="199">
        <v>0</v>
      </c>
      <c r="W29" s="199">
        <v>0</v>
      </c>
      <c r="X29" s="199">
        <v>0</v>
      </c>
      <c r="Y29" s="201">
        <v>0</v>
      </c>
      <c r="Z29" s="202">
        <v>0</v>
      </c>
      <c r="AA29" s="203">
        <v>0</v>
      </c>
      <c r="AB29" s="198">
        <v>0</v>
      </c>
      <c r="AC29" s="175"/>
      <c r="AD29" s="186" t="s">
        <v>197</v>
      </c>
      <c r="AE29" s="240">
        <v>0.58333333333333337</v>
      </c>
      <c r="AF29" s="189" t="s">
        <v>98</v>
      </c>
      <c r="AG29" s="174" t="s">
        <v>99</v>
      </c>
      <c r="AH29" s="188" t="s">
        <v>198</v>
      </c>
    </row>
    <row r="30" spans="1:34" s="137" customFormat="1" ht="18" customHeight="1" x14ac:dyDescent="0.25">
      <c r="A30" s="176">
        <v>46029</v>
      </c>
      <c r="B30" s="184" t="s">
        <v>199</v>
      </c>
      <c r="C30" s="181"/>
      <c r="D30" s="181"/>
      <c r="E30" s="181"/>
      <c r="F30" s="181">
        <v>2</v>
      </c>
      <c r="G30" s="181"/>
      <c r="H30" s="181"/>
      <c r="I30" s="181"/>
      <c r="J30" s="181"/>
      <c r="K30" s="175" t="s">
        <v>200</v>
      </c>
      <c r="L30" s="184" t="s">
        <v>201</v>
      </c>
      <c r="M30" s="187" t="s">
        <v>202</v>
      </c>
      <c r="N30" s="196">
        <v>2</v>
      </c>
      <c r="O30" s="197">
        <v>2</v>
      </c>
      <c r="P30" s="198">
        <v>0</v>
      </c>
      <c r="Q30" s="198">
        <v>0</v>
      </c>
      <c r="R30" s="199">
        <v>0</v>
      </c>
      <c r="S30" s="199">
        <v>0</v>
      </c>
      <c r="T30" s="199">
        <v>0</v>
      </c>
      <c r="U30" s="200">
        <v>0</v>
      </c>
      <c r="V30" s="199">
        <v>0</v>
      </c>
      <c r="W30" s="199">
        <v>0</v>
      </c>
      <c r="X30" s="199">
        <v>0</v>
      </c>
      <c r="Y30" s="201">
        <v>0</v>
      </c>
      <c r="Z30" s="202">
        <v>0</v>
      </c>
      <c r="AA30" s="203">
        <v>0</v>
      </c>
      <c r="AB30" s="198">
        <v>0</v>
      </c>
      <c r="AC30" s="175"/>
      <c r="AD30" s="240">
        <v>0.44444444444444442</v>
      </c>
      <c r="AE30" s="240">
        <v>0.67013888888888884</v>
      </c>
      <c r="AF30" s="189" t="s">
        <v>98</v>
      </c>
      <c r="AG30" s="174" t="s">
        <v>99</v>
      </c>
      <c r="AH30" s="188"/>
    </row>
    <row r="31" spans="1:34" s="137" customFormat="1" ht="18" customHeight="1" x14ac:dyDescent="0.25">
      <c r="A31" s="176">
        <v>46029</v>
      </c>
      <c r="B31" s="184" t="s">
        <v>205</v>
      </c>
      <c r="C31" s="181"/>
      <c r="D31" s="181">
        <v>1</v>
      </c>
      <c r="E31" s="181"/>
      <c r="F31" s="181"/>
      <c r="G31" s="181"/>
      <c r="H31" s="181"/>
      <c r="I31" s="181"/>
      <c r="J31" s="181"/>
      <c r="K31" s="175" t="s">
        <v>204</v>
      </c>
      <c r="L31" s="184" t="s">
        <v>203</v>
      </c>
      <c r="M31" s="187" t="s">
        <v>206</v>
      </c>
      <c r="N31" s="196">
        <v>1</v>
      </c>
      <c r="O31" s="197">
        <v>1</v>
      </c>
      <c r="P31" s="198">
        <v>0</v>
      </c>
      <c r="Q31" s="198">
        <v>0</v>
      </c>
      <c r="R31" s="199">
        <v>0</v>
      </c>
      <c r="S31" s="199">
        <v>0</v>
      </c>
      <c r="T31" s="199">
        <v>0</v>
      </c>
      <c r="U31" s="200">
        <v>0</v>
      </c>
      <c r="V31" s="199">
        <v>0</v>
      </c>
      <c r="W31" s="199">
        <v>0</v>
      </c>
      <c r="X31" s="199">
        <v>0</v>
      </c>
      <c r="Y31" s="201">
        <v>0</v>
      </c>
      <c r="Z31" s="202">
        <v>0</v>
      </c>
      <c r="AA31" s="203">
        <v>0</v>
      </c>
      <c r="AB31" s="198">
        <v>0</v>
      </c>
      <c r="AC31" s="175"/>
      <c r="AD31" s="186"/>
      <c r="AE31" s="240">
        <v>0.6875</v>
      </c>
      <c r="AF31" s="189" t="s">
        <v>117</v>
      </c>
      <c r="AG31" s="174" t="s">
        <v>99</v>
      </c>
      <c r="AH31" s="188"/>
    </row>
    <row r="32" spans="1:34" s="137" customFormat="1" ht="18" customHeight="1" x14ac:dyDescent="0.25">
      <c r="A32" s="176">
        <v>46029</v>
      </c>
      <c r="B32" s="184" t="s">
        <v>209</v>
      </c>
      <c r="C32" s="181"/>
      <c r="D32" s="181">
        <v>1</v>
      </c>
      <c r="E32" s="181"/>
      <c r="F32" s="181"/>
      <c r="G32" s="181"/>
      <c r="H32" s="181"/>
      <c r="I32" s="181"/>
      <c r="J32" s="181"/>
      <c r="K32" s="175" t="s">
        <v>204</v>
      </c>
      <c r="L32" s="184" t="s">
        <v>208</v>
      </c>
      <c r="M32" s="187" t="s">
        <v>207</v>
      </c>
      <c r="N32" s="196">
        <v>1</v>
      </c>
      <c r="O32" s="197">
        <v>1</v>
      </c>
      <c r="P32" s="198">
        <v>0</v>
      </c>
      <c r="Q32" s="198">
        <v>0</v>
      </c>
      <c r="R32" s="199">
        <v>0</v>
      </c>
      <c r="S32" s="199">
        <v>0</v>
      </c>
      <c r="T32" s="199">
        <v>0</v>
      </c>
      <c r="U32" s="200">
        <v>0</v>
      </c>
      <c r="V32" s="199">
        <v>0</v>
      </c>
      <c r="W32" s="199">
        <v>0</v>
      </c>
      <c r="X32" s="199">
        <v>0</v>
      </c>
      <c r="Y32" s="201">
        <v>0</v>
      </c>
      <c r="Z32" s="202">
        <v>0</v>
      </c>
      <c r="AA32" s="203">
        <v>0</v>
      </c>
      <c r="AB32" s="198">
        <v>0</v>
      </c>
      <c r="AC32" s="175"/>
      <c r="AD32" s="186"/>
      <c r="AE32" s="240">
        <v>0.6875</v>
      </c>
      <c r="AF32" s="189" t="s">
        <v>117</v>
      </c>
      <c r="AG32" s="174" t="s">
        <v>99</v>
      </c>
      <c r="AH32" s="188" t="s">
        <v>210</v>
      </c>
    </row>
    <row r="33" spans="1:35" s="137" customFormat="1" ht="18" customHeight="1" x14ac:dyDescent="0.25">
      <c r="A33" s="176">
        <v>46029</v>
      </c>
      <c r="B33" s="184" t="s">
        <v>211</v>
      </c>
      <c r="C33" s="181"/>
      <c r="D33" s="181"/>
      <c r="E33" s="181"/>
      <c r="F33" s="181">
        <v>2</v>
      </c>
      <c r="G33" s="181"/>
      <c r="H33" s="181"/>
      <c r="I33" s="181"/>
      <c r="J33" s="181"/>
      <c r="K33" s="175" t="s">
        <v>212</v>
      </c>
      <c r="L33" s="184" t="s">
        <v>213</v>
      </c>
      <c r="M33" s="187" t="s">
        <v>214</v>
      </c>
      <c r="N33" s="196">
        <v>2</v>
      </c>
      <c r="O33" s="197">
        <v>2</v>
      </c>
      <c r="P33" s="198">
        <v>0</v>
      </c>
      <c r="Q33" s="198">
        <v>0</v>
      </c>
      <c r="R33" s="199">
        <v>0</v>
      </c>
      <c r="S33" s="199">
        <v>0</v>
      </c>
      <c r="T33" s="199">
        <v>0</v>
      </c>
      <c r="U33" s="200">
        <v>0</v>
      </c>
      <c r="V33" s="199">
        <v>0</v>
      </c>
      <c r="W33" s="199">
        <v>0</v>
      </c>
      <c r="X33" s="199">
        <v>0</v>
      </c>
      <c r="Y33" s="201">
        <v>0</v>
      </c>
      <c r="Z33" s="202">
        <v>0</v>
      </c>
      <c r="AA33" s="203">
        <v>0</v>
      </c>
      <c r="AB33" s="198">
        <v>0</v>
      </c>
      <c r="AC33" s="175"/>
      <c r="AD33" s="186"/>
      <c r="AE33" s="240">
        <v>0.70833333333333337</v>
      </c>
      <c r="AF33" s="189" t="s">
        <v>168</v>
      </c>
      <c r="AG33" s="174" t="s">
        <v>99</v>
      </c>
      <c r="AH33" s="188"/>
    </row>
    <row r="34" spans="1:35" s="137" customFormat="1" ht="18" customHeight="1" x14ac:dyDescent="0.25">
      <c r="A34" s="176">
        <v>46029</v>
      </c>
      <c r="B34" s="184" t="s">
        <v>215</v>
      </c>
      <c r="C34" s="182"/>
      <c r="D34" s="182"/>
      <c r="E34" s="182"/>
      <c r="F34" s="182">
        <v>1</v>
      </c>
      <c r="G34" s="182"/>
      <c r="H34" s="182"/>
      <c r="I34" s="182"/>
      <c r="J34" s="182"/>
      <c r="K34" s="175" t="s">
        <v>121</v>
      </c>
      <c r="L34" s="184" t="s">
        <v>208</v>
      </c>
      <c r="M34" s="187" t="s">
        <v>216</v>
      </c>
      <c r="N34" s="196">
        <v>1</v>
      </c>
      <c r="O34" s="197">
        <v>1</v>
      </c>
      <c r="P34" s="198">
        <v>0</v>
      </c>
      <c r="Q34" s="198">
        <v>0</v>
      </c>
      <c r="R34" s="199">
        <v>0</v>
      </c>
      <c r="S34" s="199">
        <v>0</v>
      </c>
      <c r="T34" s="199">
        <v>0</v>
      </c>
      <c r="U34" s="200">
        <v>0</v>
      </c>
      <c r="V34" s="199">
        <v>0</v>
      </c>
      <c r="W34" s="199">
        <v>0</v>
      </c>
      <c r="X34" s="199">
        <v>0</v>
      </c>
      <c r="Y34" s="201">
        <v>0</v>
      </c>
      <c r="Z34" s="202">
        <v>0</v>
      </c>
      <c r="AA34" s="203">
        <v>0</v>
      </c>
      <c r="AB34" s="198">
        <v>0</v>
      </c>
      <c r="AC34" s="175"/>
      <c r="AD34" s="183" t="s">
        <v>218</v>
      </c>
      <c r="AE34" s="183" t="s">
        <v>217</v>
      </c>
      <c r="AF34" s="190" t="s">
        <v>98</v>
      </c>
      <c r="AG34" s="174" t="s">
        <v>99</v>
      </c>
      <c r="AH34" s="191"/>
      <c r="AI34" s="142"/>
    </row>
    <row r="35" spans="1:35" s="142" customFormat="1" ht="18" customHeight="1" x14ac:dyDescent="0.25">
      <c r="A35" s="176">
        <v>46029</v>
      </c>
      <c r="B35" s="184" t="s">
        <v>219</v>
      </c>
      <c r="C35" s="179"/>
      <c r="D35" s="179"/>
      <c r="E35" s="179"/>
      <c r="F35" s="179">
        <v>1</v>
      </c>
      <c r="G35" s="179"/>
      <c r="H35" s="179"/>
      <c r="I35" s="179"/>
      <c r="J35" s="179"/>
      <c r="K35" s="174" t="s">
        <v>220</v>
      </c>
      <c r="L35" s="184" t="s">
        <v>221</v>
      </c>
      <c r="M35" s="187" t="s">
        <v>222</v>
      </c>
      <c r="N35" s="196">
        <v>1</v>
      </c>
      <c r="O35" s="197">
        <v>1</v>
      </c>
      <c r="P35" s="198">
        <v>0</v>
      </c>
      <c r="Q35" s="198">
        <v>0</v>
      </c>
      <c r="R35" s="199">
        <v>0</v>
      </c>
      <c r="S35" s="199">
        <v>0</v>
      </c>
      <c r="T35" s="199">
        <v>0</v>
      </c>
      <c r="U35" s="200">
        <v>0</v>
      </c>
      <c r="V35" s="199">
        <v>0</v>
      </c>
      <c r="W35" s="199">
        <v>0</v>
      </c>
      <c r="X35" s="199">
        <v>0</v>
      </c>
      <c r="Y35" s="201">
        <v>0</v>
      </c>
      <c r="Z35" s="202">
        <v>0</v>
      </c>
      <c r="AA35" s="203">
        <v>0</v>
      </c>
      <c r="AB35" s="198">
        <v>0</v>
      </c>
      <c r="AC35" s="175"/>
      <c r="AD35" s="183" t="s">
        <v>224</v>
      </c>
      <c r="AE35" s="183" t="s">
        <v>223</v>
      </c>
      <c r="AF35" s="174" t="s">
        <v>117</v>
      </c>
      <c r="AG35" s="174" t="s">
        <v>99</v>
      </c>
      <c r="AH35" s="206"/>
      <c r="AI35" s="86"/>
    </row>
    <row r="36" spans="1:35" s="86" customFormat="1" ht="18" customHeight="1" x14ac:dyDescent="0.25">
      <c r="A36" s="176">
        <v>46030</v>
      </c>
      <c r="B36" s="184" t="s">
        <v>225</v>
      </c>
      <c r="C36" s="179"/>
      <c r="D36" s="179"/>
      <c r="E36" s="179"/>
      <c r="F36" s="179">
        <v>2</v>
      </c>
      <c r="G36" s="179"/>
      <c r="H36" s="179"/>
      <c r="I36" s="179"/>
      <c r="J36" s="179"/>
      <c r="K36" s="174" t="s">
        <v>200</v>
      </c>
      <c r="L36" s="184" t="s">
        <v>226</v>
      </c>
      <c r="M36" s="187" t="s">
        <v>227</v>
      </c>
      <c r="N36" s="196">
        <v>2</v>
      </c>
      <c r="O36" s="197">
        <v>2</v>
      </c>
      <c r="P36" s="198">
        <v>0</v>
      </c>
      <c r="Q36" s="198">
        <v>0</v>
      </c>
      <c r="R36" s="199">
        <v>0</v>
      </c>
      <c r="S36" s="199">
        <v>0</v>
      </c>
      <c r="T36" s="199">
        <v>0</v>
      </c>
      <c r="U36" s="200">
        <v>0</v>
      </c>
      <c r="V36" s="199">
        <v>0</v>
      </c>
      <c r="W36" s="199">
        <v>0</v>
      </c>
      <c r="X36" s="199">
        <v>0</v>
      </c>
      <c r="Y36" s="201">
        <v>0</v>
      </c>
      <c r="Z36" s="202">
        <v>0</v>
      </c>
      <c r="AA36" s="203">
        <v>0</v>
      </c>
      <c r="AB36" s="198">
        <v>0</v>
      </c>
      <c r="AC36" s="175"/>
      <c r="AD36" s="183" t="s">
        <v>230</v>
      </c>
      <c r="AE36" s="183" t="s">
        <v>228</v>
      </c>
      <c r="AF36" s="174" t="s">
        <v>117</v>
      </c>
      <c r="AG36" s="174" t="s">
        <v>99</v>
      </c>
      <c r="AH36" s="188" t="s">
        <v>229</v>
      </c>
    </row>
    <row r="37" spans="1:35" s="86" customFormat="1" ht="18" customHeight="1" x14ac:dyDescent="0.25">
      <c r="A37" s="176">
        <v>46030</v>
      </c>
      <c r="B37" s="184" t="s">
        <v>231</v>
      </c>
      <c r="C37" s="164"/>
      <c r="D37" s="164"/>
      <c r="E37" s="164"/>
      <c r="F37" s="164">
        <v>1</v>
      </c>
      <c r="G37" s="164"/>
      <c r="H37" s="164"/>
      <c r="I37" s="164"/>
      <c r="J37" s="164"/>
      <c r="K37" s="164" t="s">
        <v>232</v>
      </c>
      <c r="L37" s="184" t="s">
        <v>233</v>
      </c>
      <c r="M37" s="187" t="s">
        <v>234</v>
      </c>
      <c r="N37" s="169">
        <v>1</v>
      </c>
      <c r="O37" s="170">
        <v>1</v>
      </c>
      <c r="P37" s="198">
        <v>0</v>
      </c>
      <c r="Q37" s="198">
        <v>0</v>
      </c>
      <c r="R37" s="199">
        <v>0</v>
      </c>
      <c r="S37" s="199">
        <v>0</v>
      </c>
      <c r="T37" s="199">
        <v>0</v>
      </c>
      <c r="U37" s="200">
        <v>0</v>
      </c>
      <c r="V37" s="199">
        <v>0</v>
      </c>
      <c r="W37" s="199">
        <v>0</v>
      </c>
      <c r="X37" s="199">
        <v>0</v>
      </c>
      <c r="Y37" s="201">
        <v>0</v>
      </c>
      <c r="Z37" s="202">
        <v>0</v>
      </c>
      <c r="AA37" s="203">
        <v>0</v>
      </c>
      <c r="AB37" s="198">
        <v>0</v>
      </c>
      <c r="AC37" s="175"/>
      <c r="AD37" s="241">
        <v>0.34722222222222227</v>
      </c>
      <c r="AE37" s="241">
        <v>0.39583333333333331</v>
      </c>
      <c r="AF37" s="189" t="s">
        <v>98</v>
      </c>
      <c r="AG37" s="174" t="s">
        <v>99</v>
      </c>
      <c r="AH37" s="188"/>
      <c r="AI37" s="138"/>
    </row>
    <row r="38" spans="1:35" s="86" customFormat="1" ht="18" customHeight="1" x14ac:dyDescent="0.25">
      <c r="A38" s="176">
        <v>46030</v>
      </c>
      <c r="B38" s="184" t="s">
        <v>235</v>
      </c>
      <c r="C38" s="164"/>
      <c r="D38" s="164"/>
      <c r="E38" s="164"/>
      <c r="F38" s="164">
        <v>4</v>
      </c>
      <c r="G38" s="164"/>
      <c r="H38" s="164"/>
      <c r="I38" s="164"/>
      <c r="J38" s="164"/>
      <c r="K38" s="164" t="s">
        <v>200</v>
      </c>
      <c r="L38" s="184" t="s">
        <v>201</v>
      </c>
      <c r="M38" s="187" t="s">
        <v>236</v>
      </c>
      <c r="N38" s="169">
        <v>4</v>
      </c>
      <c r="O38" s="170">
        <v>4</v>
      </c>
      <c r="P38" s="198">
        <v>0</v>
      </c>
      <c r="Q38" s="198">
        <v>0</v>
      </c>
      <c r="R38" s="199">
        <v>0</v>
      </c>
      <c r="S38" s="199">
        <v>0</v>
      </c>
      <c r="T38" s="199">
        <v>0</v>
      </c>
      <c r="U38" s="200">
        <v>0</v>
      </c>
      <c r="V38" s="199">
        <v>0</v>
      </c>
      <c r="W38" s="199">
        <v>0</v>
      </c>
      <c r="X38" s="199">
        <v>0</v>
      </c>
      <c r="Y38" s="201">
        <v>0</v>
      </c>
      <c r="Z38" s="202">
        <v>0</v>
      </c>
      <c r="AA38" s="203">
        <v>0</v>
      </c>
      <c r="AB38" s="198">
        <v>0</v>
      </c>
      <c r="AC38" s="175"/>
      <c r="AD38" s="241">
        <v>0.39583333333333331</v>
      </c>
      <c r="AE38" s="241">
        <v>0.45833333333333331</v>
      </c>
      <c r="AF38" s="189" t="s">
        <v>98</v>
      </c>
      <c r="AG38" s="174" t="s">
        <v>99</v>
      </c>
      <c r="AH38" s="188"/>
      <c r="AI38" s="138"/>
    </row>
    <row r="39" spans="1:35" s="86" customFormat="1" ht="18" customHeight="1" x14ac:dyDescent="0.25">
      <c r="A39" s="176">
        <v>46030</v>
      </c>
      <c r="B39" s="184" t="s">
        <v>237</v>
      </c>
      <c r="C39" s="164"/>
      <c r="D39" s="164"/>
      <c r="E39" s="164"/>
      <c r="F39" s="164"/>
      <c r="G39" s="164"/>
      <c r="H39" s="164"/>
      <c r="I39" s="164">
        <v>2</v>
      </c>
      <c r="J39" s="164"/>
      <c r="K39" s="164" t="s">
        <v>238</v>
      </c>
      <c r="L39" s="184" t="s">
        <v>239</v>
      </c>
      <c r="M39" s="187" t="s">
        <v>240</v>
      </c>
      <c r="N39" s="169">
        <v>2</v>
      </c>
      <c r="O39" s="170">
        <v>2</v>
      </c>
      <c r="P39" s="198">
        <v>0</v>
      </c>
      <c r="Q39" s="198">
        <v>0</v>
      </c>
      <c r="R39" s="199">
        <v>0</v>
      </c>
      <c r="S39" s="199">
        <v>0</v>
      </c>
      <c r="T39" s="199">
        <v>0</v>
      </c>
      <c r="U39" s="200">
        <v>0</v>
      </c>
      <c r="V39" s="199">
        <v>0</v>
      </c>
      <c r="W39" s="199">
        <v>0</v>
      </c>
      <c r="X39" s="199">
        <v>0</v>
      </c>
      <c r="Y39" s="201">
        <v>0</v>
      </c>
      <c r="Z39" s="202">
        <v>0</v>
      </c>
      <c r="AA39" s="203">
        <v>0</v>
      </c>
      <c r="AB39" s="198">
        <v>0</v>
      </c>
      <c r="AC39" s="175"/>
      <c r="AD39" s="176"/>
      <c r="AE39" s="176"/>
      <c r="AF39" s="189" t="s">
        <v>117</v>
      </c>
      <c r="AG39" s="174" t="s">
        <v>99</v>
      </c>
      <c r="AH39" s="188"/>
      <c r="AI39" s="138"/>
    </row>
    <row r="40" spans="1:35" s="136" customFormat="1" ht="18" customHeight="1" x14ac:dyDescent="0.25">
      <c r="A40" s="176">
        <v>46030</v>
      </c>
      <c r="B40" s="184" t="s">
        <v>244</v>
      </c>
      <c r="C40" s="164"/>
      <c r="D40" s="219"/>
      <c r="E40" s="164"/>
      <c r="F40" s="164"/>
      <c r="G40" s="164"/>
      <c r="H40" s="164"/>
      <c r="I40" s="164">
        <v>2</v>
      </c>
      <c r="J40" s="164"/>
      <c r="K40" s="164" t="s">
        <v>238</v>
      </c>
      <c r="L40" s="184" t="s">
        <v>239</v>
      </c>
      <c r="M40" s="187" t="s">
        <v>241</v>
      </c>
      <c r="N40" s="169">
        <v>2</v>
      </c>
      <c r="O40" s="170">
        <v>2</v>
      </c>
      <c r="P40" s="198">
        <v>0</v>
      </c>
      <c r="Q40" s="198">
        <v>0</v>
      </c>
      <c r="R40" s="199">
        <v>0</v>
      </c>
      <c r="S40" s="199">
        <v>0</v>
      </c>
      <c r="T40" s="199">
        <v>0</v>
      </c>
      <c r="U40" s="200">
        <v>0</v>
      </c>
      <c r="V40" s="199">
        <v>0</v>
      </c>
      <c r="W40" s="199">
        <v>0</v>
      </c>
      <c r="X40" s="199">
        <v>0</v>
      </c>
      <c r="Y40" s="201">
        <v>0</v>
      </c>
      <c r="Z40" s="202">
        <v>0</v>
      </c>
      <c r="AA40" s="203">
        <v>0</v>
      </c>
      <c r="AB40" s="198">
        <v>0</v>
      </c>
      <c r="AC40" s="175"/>
      <c r="AD40" s="176"/>
      <c r="AE40" s="176"/>
      <c r="AF40" s="189" t="s">
        <v>117</v>
      </c>
      <c r="AG40" s="174" t="s">
        <v>99</v>
      </c>
      <c r="AH40" s="188"/>
      <c r="AI40" s="138"/>
    </row>
    <row r="41" spans="1:35" s="207" customFormat="1" ht="18" customHeight="1" x14ac:dyDescent="0.25">
      <c r="A41" s="176">
        <v>46030</v>
      </c>
      <c r="B41" s="184" t="s">
        <v>237</v>
      </c>
      <c r="C41" s="164"/>
      <c r="D41" s="164"/>
      <c r="E41" s="164"/>
      <c r="F41" s="164"/>
      <c r="G41" s="164"/>
      <c r="H41" s="164"/>
      <c r="I41" s="164">
        <v>2</v>
      </c>
      <c r="J41" s="164"/>
      <c r="K41" s="164" t="s">
        <v>238</v>
      </c>
      <c r="L41" s="184" t="s">
        <v>239</v>
      </c>
      <c r="M41" s="187" t="s">
        <v>242</v>
      </c>
      <c r="N41" s="169">
        <v>2</v>
      </c>
      <c r="O41" s="170">
        <v>2</v>
      </c>
      <c r="P41" s="198">
        <v>0</v>
      </c>
      <c r="Q41" s="198">
        <v>0</v>
      </c>
      <c r="R41" s="199">
        <v>0</v>
      </c>
      <c r="S41" s="199">
        <v>0</v>
      </c>
      <c r="T41" s="199">
        <v>0</v>
      </c>
      <c r="U41" s="200">
        <v>0</v>
      </c>
      <c r="V41" s="199">
        <v>0</v>
      </c>
      <c r="W41" s="199">
        <v>0</v>
      </c>
      <c r="X41" s="199">
        <v>0</v>
      </c>
      <c r="Y41" s="201">
        <v>0</v>
      </c>
      <c r="Z41" s="202">
        <v>0</v>
      </c>
      <c r="AA41" s="203">
        <v>0</v>
      </c>
      <c r="AB41" s="198">
        <v>0</v>
      </c>
      <c r="AC41" s="175"/>
      <c r="AD41" s="176"/>
      <c r="AE41" s="176"/>
      <c r="AF41" s="158" t="s">
        <v>117</v>
      </c>
      <c r="AG41" s="174" t="s">
        <v>99</v>
      </c>
      <c r="AH41" s="138"/>
      <c r="AI41" s="138"/>
    </row>
    <row r="42" spans="1:35" s="207" customFormat="1" ht="18" customHeight="1" x14ac:dyDescent="0.25">
      <c r="A42" s="176">
        <v>46030</v>
      </c>
      <c r="B42" s="184" t="s">
        <v>244</v>
      </c>
      <c r="C42" s="164"/>
      <c r="D42" s="164"/>
      <c r="E42" s="164"/>
      <c r="F42" s="164"/>
      <c r="G42" s="164"/>
      <c r="H42" s="164"/>
      <c r="I42" s="164">
        <v>2</v>
      </c>
      <c r="J42" s="164"/>
      <c r="K42" s="164" t="s">
        <v>238</v>
      </c>
      <c r="L42" s="184" t="s">
        <v>239</v>
      </c>
      <c r="M42" s="187" t="s">
        <v>243</v>
      </c>
      <c r="N42" s="169">
        <v>2</v>
      </c>
      <c r="O42" s="170">
        <v>2</v>
      </c>
      <c r="P42" s="198">
        <v>0</v>
      </c>
      <c r="Q42" s="198">
        <v>0</v>
      </c>
      <c r="R42" s="199">
        <v>0</v>
      </c>
      <c r="S42" s="199">
        <v>0</v>
      </c>
      <c r="T42" s="199">
        <v>0</v>
      </c>
      <c r="U42" s="200">
        <v>0</v>
      </c>
      <c r="V42" s="199">
        <v>0</v>
      </c>
      <c r="W42" s="199">
        <v>0</v>
      </c>
      <c r="X42" s="199">
        <v>0</v>
      </c>
      <c r="Y42" s="201">
        <v>0</v>
      </c>
      <c r="Z42" s="202">
        <v>0</v>
      </c>
      <c r="AA42" s="203">
        <v>0</v>
      </c>
      <c r="AB42" s="198">
        <v>0</v>
      </c>
      <c r="AC42" s="175"/>
      <c r="AD42" s="176"/>
      <c r="AE42" s="176"/>
      <c r="AF42" s="158" t="s">
        <v>117</v>
      </c>
      <c r="AG42" s="174" t="s">
        <v>99</v>
      </c>
      <c r="AH42" s="159"/>
      <c r="AI42" s="138"/>
    </row>
    <row r="43" spans="1:35" s="207" customFormat="1" ht="18" customHeight="1" x14ac:dyDescent="0.25">
      <c r="A43" s="176">
        <v>46030</v>
      </c>
      <c r="B43" s="184" t="s">
        <v>246</v>
      </c>
      <c r="C43" s="164"/>
      <c r="D43" s="164"/>
      <c r="E43" s="164"/>
      <c r="F43" s="164">
        <v>1</v>
      </c>
      <c r="G43" s="164"/>
      <c r="H43" s="164"/>
      <c r="I43" s="164"/>
      <c r="J43" s="164"/>
      <c r="K43" s="164" t="s">
        <v>150</v>
      </c>
      <c r="L43" s="184" t="s">
        <v>247</v>
      </c>
      <c r="M43" s="187" t="s">
        <v>248</v>
      </c>
      <c r="N43" s="169">
        <v>1</v>
      </c>
      <c r="O43" s="170">
        <v>1</v>
      </c>
      <c r="P43" s="198">
        <v>0</v>
      </c>
      <c r="Q43" s="198">
        <v>0</v>
      </c>
      <c r="R43" s="199">
        <v>0</v>
      </c>
      <c r="S43" s="199">
        <v>0</v>
      </c>
      <c r="T43" s="199">
        <v>0</v>
      </c>
      <c r="U43" s="200">
        <v>0</v>
      </c>
      <c r="V43" s="199">
        <v>0</v>
      </c>
      <c r="W43" s="199">
        <v>0</v>
      </c>
      <c r="X43" s="199">
        <v>0</v>
      </c>
      <c r="Y43" s="201">
        <v>0</v>
      </c>
      <c r="Z43" s="202">
        <v>0</v>
      </c>
      <c r="AA43" s="203">
        <v>0</v>
      </c>
      <c r="AB43" s="198">
        <v>0</v>
      </c>
      <c r="AC43" s="175"/>
      <c r="AD43" s="241">
        <v>0.73611111111111116</v>
      </c>
      <c r="AE43" s="241">
        <v>0.54722222222222217</v>
      </c>
      <c r="AF43" s="158" t="s">
        <v>98</v>
      </c>
      <c r="AG43" s="174" t="s">
        <v>99</v>
      </c>
      <c r="AH43" s="159" t="s">
        <v>245</v>
      </c>
      <c r="AI43" s="138"/>
    </row>
    <row r="44" spans="1:35" s="207" customFormat="1" ht="18" customHeight="1" x14ac:dyDescent="0.25">
      <c r="A44" s="176">
        <v>46030</v>
      </c>
      <c r="B44" s="184" t="s">
        <v>249</v>
      </c>
      <c r="C44" s="164"/>
      <c r="D44" s="164"/>
      <c r="E44" s="164"/>
      <c r="F44" s="164">
        <v>1</v>
      </c>
      <c r="G44" s="164"/>
      <c r="H44" s="164"/>
      <c r="I44" s="164"/>
      <c r="J44" s="164"/>
      <c r="K44" s="164" t="s">
        <v>250</v>
      </c>
      <c r="L44" s="184" t="s">
        <v>251</v>
      </c>
      <c r="M44" s="187" t="s">
        <v>252</v>
      </c>
      <c r="N44" s="169">
        <v>1</v>
      </c>
      <c r="O44" s="170">
        <v>1</v>
      </c>
      <c r="P44" s="198">
        <v>0</v>
      </c>
      <c r="Q44" s="198">
        <v>0</v>
      </c>
      <c r="R44" s="199">
        <v>0</v>
      </c>
      <c r="S44" s="199">
        <v>0</v>
      </c>
      <c r="T44" s="199">
        <v>0</v>
      </c>
      <c r="U44" s="200">
        <v>0</v>
      </c>
      <c r="V44" s="199">
        <v>0</v>
      </c>
      <c r="W44" s="199">
        <v>0</v>
      </c>
      <c r="X44" s="199">
        <v>0</v>
      </c>
      <c r="Y44" s="201">
        <v>0</v>
      </c>
      <c r="Z44" s="202">
        <v>0</v>
      </c>
      <c r="AA44" s="203">
        <v>0</v>
      </c>
      <c r="AB44" s="198">
        <v>0</v>
      </c>
      <c r="AC44" s="175"/>
      <c r="AD44" s="241">
        <v>0.40972222222222227</v>
      </c>
      <c r="AE44" s="241">
        <v>0.63541666666666663</v>
      </c>
      <c r="AF44" s="158" t="s">
        <v>98</v>
      </c>
      <c r="AG44" s="174" t="s">
        <v>99</v>
      </c>
      <c r="AH44" s="159"/>
      <c r="AI44" s="138"/>
    </row>
    <row r="45" spans="1:35" s="137" customFormat="1" ht="18" customHeight="1" x14ac:dyDescent="0.25">
      <c r="A45" s="176">
        <v>46030</v>
      </c>
      <c r="B45" s="218" t="s">
        <v>253</v>
      </c>
      <c r="C45" s="164"/>
      <c r="D45" s="164"/>
      <c r="E45" s="164"/>
      <c r="F45" s="164"/>
      <c r="G45" s="164"/>
      <c r="H45" s="164"/>
      <c r="I45" s="164">
        <v>2</v>
      </c>
      <c r="J45" s="164"/>
      <c r="K45" s="164" t="s">
        <v>254</v>
      </c>
      <c r="L45" s="184" t="s">
        <v>255</v>
      </c>
      <c r="M45" s="187" t="s">
        <v>256</v>
      </c>
      <c r="N45" s="169">
        <v>2</v>
      </c>
      <c r="O45" s="170">
        <v>2</v>
      </c>
      <c r="P45" s="198">
        <v>0</v>
      </c>
      <c r="Q45" s="198">
        <v>0</v>
      </c>
      <c r="R45" s="199">
        <v>0</v>
      </c>
      <c r="S45" s="199">
        <v>0</v>
      </c>
      <c r="T45" s="199">
        <v>0</v>
      </c>
      <c r="U45" s="200">
        <v>0</v>
      </c>
      <c r="V45" s="199">
        <v>0</v>
      </c>
      <c r="W45" s="199">
        <v>0</v>
      </c>
      <c r="X45" s="199">
        <v>0</v>
      </c>
      <c r="Y45" s="201">
        <v>0</v>
      </c>
      <c r="Z45" s="202">
        <v>0</v>
      </c>
      <c r="AA45" s="203">
        <v>0</v>
      </c>
      <c r="AB45" s="198">
        <v>0</v>
      </c>
      <c r="AC45" s="175"/>
      <c r="AD45" s="241">
        <v>0.66666666666666663</v>
      </c>
      <c r="AE45" s="241">
        <v>0.72916666666666663</v>
      </c>
      <c r="AF45" s="158" t="s">
        <v>117</v>
      </c>
      <c r="AG45" s="174" t="s">
        <v>99</v>
      </c>
      <c r="AH45" s="159" t="s">
        <v>257</v>
      </c>
      <c r="AI45" s="138"/>
    </row>
    <row r="46" spans="1:35" s="137" customFormat="1" ht="18" customHeight="1" x14ac:dyDescent="0.25">
      <c r="A46" s="176">
        <v>46030</v>
      </c>
      <c r="B46" s="184" t="s">
        <v>262</v>
      </c>
      <c r="C46" s="164"/>
      <c r="D46" s="164"/>
      <c r="E46" s="164"/>
      <c r="F46" s="164">
        <v>1</v>
      </c>
      <c r="G46" s="164"/>
      <c r="H46" s="164"/>
      <c r="I46" s="164"/>
      <c r="J46" s="164"/>
      <c r="K46" s="164" t="s">
        <v>261</v>
      </c>
      <c r="L46" s="184" t="s">
        <v>260</v>
      </c>
      <c r="M46" s="187" t="s">
        <v>259</v>
      </c>
      <c r="N46" s="169">
        <v>1</v>
      </c>
      <c r="O46" s="170">
        <v>1</v>
      </c>
      <c r="P46" s="198">
        <v>0</v>
      </c>
      <c r="Q46" s="198">
        <v>0</v>
      </c>
      <c r="R46" s="199">
        <v>0</v>
      </c>
      <c r="S46" s="199">
        <v>0</v>
      </c>
      <c r="T46" s="199">
        <v>0</v>
      </c>
      <c r="U46" s="200">
        <v>0</v>
      </c>
      <c r="V46" s="199">
        <v>0</v>
      </c>
      <c r="W46" s="199">
        <v>0</v>
      </c>
      <c r="X46" s="199">
        <v>0</v>
      </c>
      <c r="Y46" s="201">
        <v>0</v>
      </c>
      <c r="Z46" s="202">
        <v>0</v>
      </c>
      <c r="AA46" s="203">
        <v>0</v>
      </c>
      <c r="AB46" s="198">
        <v>0</v>
      </c>
      <c r="AC46" s="175"/>
      <c r="AD46" s="164" t="s">
        <v>258</v>
      </c>
      <c r="AE46" s="241">
        <v>0.74305555555555547</v>
      </c>
      <c r="AF46" s="158" t="s">
        <v>98</v>
      </c>
      <c r="AG46" s="174" t="s">
        <v>99</v>
      </c>
      <c r="AH46" s="159"/>
      <c r="AI46" s="138"/>
    </row>
    <row r="47" spans="1:35" s="137" customFormat="1" ht="18" customHeight="1" x14ac:dyDescent="0.25">
      <c r="A47" s="176">
        <v>46031</v>
      </c>
      <c r="B47" s="184" t="s">
        <v>263</v>
      </c>
      <c r="C47" s="164"/>
      <c r="D47" s="164"/>
      <c r="E47" s="164"/>
      <c r="F47" s="164">
        <v>1</v>
      </c>
      <c r="G47" s="164"/>
      <c r="H47" s="164"/>
      <c r="I47" s="164"/>
      <c r="J47" s="164"/>
      <c r="K47" s="164" t="s">
        <v>150</v>
      </c>
      <c r="L47" s="184" t="s">
        <v>247</v>
      </c>
      <c r="M47" s="187" t="s">
        <v>264</v>
      </c>
      <c r="N47" s="169">
        <v>1</v>
      </c>
      <c r="O47" s="170">
        <v>1</v>
      </c>
      <c r="P47" s="198">
        <v>0</v>
      </c>
      <c r="Q47" s="198">
        <v>0</v>
      </c>
      <c r="R47" s="199">
        <v>0</v>
      </c>
      <c r="S47" s="199">
        <v>0</v>
      </c>
      <c r="T47" s="199">
        <v>0</v>
      </c>
      <c r="U47" s="200">
        <v>0</v>
      </c>
      <c r="V47" s="199">
        <v>0</v>
      </c>
      <c r="W47" s="199">
        <v>0</v>
      </c>
      <c r="X47" s="199">
        <v>0</v>
      </c>
      <c r="Y47" s="201">
        <v>0</v>
      </c>
      <c r="Z47" s="202">
        <v>0</v>
      </c>
      <c r="AA47" s="203">
        <v>0</v>
      </c>
      <c r="AB47" s="198">
        <v>0</v>
      </c>
      <c r="AC47" s="175"/>
      <c r="AD47" s="241">
        <v>0.58333333333333337</v>
      </c>
      <c r="AE47" s="241">
        <v>0.38194444444444442</v>
      </c>
      <c r="AF47" s="158" t="s">
        <v>98</v>
      </c>
      <c r="AG47" s="174" t="s">
        <v>99</v>
      </c>
      <c r="AH47" s="159"/>
      <c r="AI47" s="138"/>
    </row>
    <row r="48" spans="1:35" s="137" customFormat="1" ht="18" customHeight="1" x14ac:dyDescent="0.25">
      <c r="A48" s="176">
        <v>46031</v>
      </c>
      <c r="B48" s="184" t="s">
        <v>265</v>
      </c>
      <c r="C48" s="164"/>
      <c r="D48" s="164"/>
      <c r="E48" s="164"/>
      <c r="F48" s="164">
        <v>1</v>
      </c>
      <c r="G48" s="164"/>
      <c r="H48" s="164"/>
      <c r="I48" s="164"/>
      <c r="J48" s="164"/>
      <c r="K48" s="164" t="s">
        <v>150</v>
      </c>
      <c r="L48" s="184" t="s">
        <v>247</v>
      </c>
      <c r="M48" s="187" t="s">
        <v>266</v>
      </c>
      <c r="N48" s="169">
        <v>1</v>
      </c>
      <c r="O48" s="170">
        <v>1</v>
      </c>
      <c r="P48" s="198">
        <v>0</v>
      </c>
      <c r="Q48" s="198">
        <v>0</v>
      </c>
      <c r="R48" s="199">
        <v>0</v>
      </c>
      <c r="S48" s="199">
        <v>0</v>
      </c>
      <c r="T48" s="199">
        <v>0</v>
      </c>
      <c r="U48" s="200">
        <v>0</v>
      </c>
      <c r="V48" s="199">
        <v>0</v>
      </c>
      <c r="W48" s="199">
        <v>0</v>
      </c>
      <c r="X48" s="199">
        <v>0</v>
      </c>
      <c r="Y48" s="201">
        <v>0</v>
      </c>
      <c r="Z48" s="202">
        <v>0</v>
      </c>
      <c r="AA48" s="203">
        <v>0</v>
      </c>
      <c r="AB48" s="198">
        <v>0</v>
      </c>
      <c r="AC48" s="175"/>
      <c r="AD48" s="241">
        <v>0.625</v>
      </c>
      <c r="AE48" s="241">
        <v>0.4236111111111111</v>
      </c>
      <c r="AF48" s="158" t="s">
        <v>98</v>
      </c>
      <c r="AG48" s="174" t="s">
        <v>99</v>
      </c>
      <c r="AH48" s="159"/>
      <c r="AI48" s="138"/>
    </row>
    <row r="49" spans="1:35" s="137" customFormat="1" ht="18" customHeight="1" x14ac:dyDescent="0.25">
      <c r="A49" s="176">
        <v>46031</v>
      </c>
      <c r="B49" s="184" t="s">
        <v>267</v>
      </c>
      <c r="C49" s="164">
        <v>1</v>
      </c>
      <c r="D49" s="164"/>
      <c r="E49" s="164"/>
      <c r="F49" s="164"/>
      <c r="G49" s="164"/>
      <c r="H49" s="164"/>
      <c r="I49" s="164"/>
      <c r="J49" s="164"/>
      <c r="K49" s="164" t="s">
        <v>268</v>
      </c>
      <c r="L49" s="184"/>
      <c r="M49" s="187" t="s">
        <v>269</v>
      </c>
      <c r="N49" s="169">
        <v>1</v>
      </c>
      <c r="O49" s="170">
        <v>1</v>
      </c>
      <c r="P49" s="198">
        <v>0</v>
      </c>
      <c r="Q49" s="198">
        <v>0</v>
      </c>
      <c r="R49" s="199">
        <v>0</v>
      </c>
      <c r="S49" s="199">
        <v>0</v>
      </c>
      <c r="T49" s="199">
        <v>0</v>
      </c>
      <c r="U49" s="200">
        <v>0</v>
      </c>
      <c r="V49" s="199">
        <v>0</v>
      </c>
      <c r="W49" s="199">
        <v>0</v>
      </c>
      <c r="X49" s="199">
        <v>0</v>
      </c>
      <c r="Y49" s="201">
        <v>0</v>
      </c>
      <c r="Z49" s="202">
        <v>0</v>
      </c>
      <c r="AA49" s="203">
        <v>0</v>
      </c>
      <c r="AB49" s="198">
        <v>0</v>
      </c>
      <c r="AC49" s="175"/>
      <c r="AD49" s="241">
        <v>0.4236111111111111</v>
      </c>
      <c r="AE49" s="164"/>
      <c r="AF49" s="158" t="s">
        <v>98</v>
      </c>
      <c r="AG49" s="174" t="s">
        <v>99</v>
      </c>
      <c r="AH49" s="159" t="s">
        <v>270</v>
      </c>
      <c r="AI49" s="138"/>
    </row>
    <row r="50" spans="1:35" s="137" customFormat="1" ht="18" customHeight="1" x14ac:dyDescent="0.25">
      <c r="A50" s="176">
        <v>46031</v>
      </c>
      <c r="B50" s="184" t="s">
        <v>271</v>
      </c>
      <c r="C50" s="164"/>
      <c r="D50" s="164"/>
      <c r="E50" s="164"/>
      <c r="F50" s="164"/>
      <c r="G50" s="164"/>
      <c r="H50" s="164"/>
      <c r="I50" s="164">
        <v>2</v>
      </c>
      <c r="J50" s="164"/>
      <c r="K50" s="164" t="s">
        <v>129</v>
      </c>
      <c r="L50" s="184" t="s">
        <v>272</v>
      </c>
      <c r="M50" s="187" t="s">
        <v>273</v>
      </c>
      <c r="N50" s="169">
        <v>2</v>
      </c>
      <c r="O50" s="170">
        <v>2</v>
      </c>
      <c r="P50" s="198">
        <v>0</v>
      </c>
      <c r="Q50" s="198">
        <v>0</v>
      </c>
      <c r="R50" s="199">
        <v>0</v>
      </c>
      <c r="S50" s="199">
        <v>0</v>
      </c>
      <c r="T50" s="199">
        <v>0</v>
      </c>
      <c r="U50" s="200">
        <v>0</v>
      </c>
      <c r="V50" s="199">
        <v>0</v>
      </c>
      <c r="W50" s="199">
        <v>0</v>
      </c>
      <c r="X50" s="199">
        <v>0</v>
      </c>
      <c r="Y50" s="201">
        <v>0</v>
      </c>
      <c r="Z50" s="202">
        <v>0</v>
      </c>
      <c r="AA50" s="203">
        <v>0</v>
      </c>
      <c r="AB50" s="198">
        <v>0</v>
      </c>
      <c r="AC50" s="175"/>
      <c r="AD50" s="241">
        <v>0.55555555555555558</v>
      </c>
      <c r="AE50" s="241">
        <v>0.56597222222222221</v>
      </c>
      <c r="AF50" s="158" t="s">
        <v>98</v>
      </c>
      <c r="AG50" s="174" t="s">
        <v>99</v>
      </c>
      <c r="AH50" s="159"/>
      <c r="AI50" s="138"/>
    </row>
    <row r="51" spans="1:35" s="137" customFormat="1" ht="18" customHeight="1" x14ac:dyDescent="0.25">
      <c r="A51" s="176">
        <v>46031</v>
      </c>
      <c r="B51" s="184" t="s">
        <v>274</v>
      </c>
      <c r="C51" s="164">
        <v>2</v>
      </c>
      <c r="D51" s="164"/>
      <c r="E51" s="164"/>
      <c r="F51" s="164"/>
      <c r="G51" s="164"/>
      <c r="H51" s="164"/>
      <c r="I51" s="164"/>
      <c r="J51" s="164"/>
      <c r="K51" s="164" t="s">
        <v>275</v>
      </c>
      <c r="L51" s="184" t="s">
        <v>276</v>
      </c>
      <c r="M51" s="187" t="s">
        <v>277</v>
      </c>
      <c r="N51" s="169">
        <v>2</v>
      </c>
      <c r="O51" s="170">
        <v>2</v>
      </c>
      <c r="P51" s="198">
        <v>0</v>
      </c>
      <c r="Q51" s="198">
        <v>0</v>
      </c>
      <c r="R51" s="199">
        <v>0</v>
      </c>
      <c r="S51" s="199">
        <v>0</v>
      </c>
      <c r="T51" s="199">
        <v>0</v>
      </c>
      <c r="U51" s="200">
        <v>0</v>
      </c>
      <c r="V51" s="199">
        <v>0</v>
      </c>
      <c r="W51" s="199">
        <v>0</v>
      </c>
      <c r="X51" s="199">
        <v>0</v>
      </c>
      <c r="Y51" s="201">
        <v>0</v>
      </c>
      <c r="Z51" s="202">
        <v>0</v>
      </c>
      <c r="AA51" s="203">
        <v>0</v>
      </c>
      <c r="AB51" s="198">
        <v>0</v>
      </c>
      <c r="AC51" s="175"/>
      <c r="AD51" s="242">
        <v>46030</v>
      </c>
      <c r="AE51" s="241">
        <v>0.62847222222222221</v>
      </c>
      <c r="AF51" s="158" t="s">
        <v>117</v>
      </c>
      <c r="AG51" s="174" t="s">
        <v>99</v>
      </c>
      <c r="AH51" s="159" t="s">
        <v>278</v>
      </c>
      <c r="AI51" s="138"/>
    </row>
    <row r="52" spans="1:35" s="137" customFormat="1" ht="18" customHeight="1" x14ac:dyDescent="0.25">
      <c r="A52" s="176">
        <v>46031</v>
      </c>
      <c r="B52" s="184" t="s">
        <v>279</v>
      </c>
      <c r="C52" s="164"/>
      <c r="D52" s="164"/>
      <c r="E52" s="164"/>
      <c r="F52" s="164">
        <v>2</v>
      </c>
      <c r="G52" s="164"/>
      <c r="H52" s="164"/>
      <c r="I52" s="164"/>
      <c r="J52" s="164"/>
      <c r="K52" s="164" t="s">
        <v>280</v>
      </c>
      <c r="L52" s="184" t="s">
        <v>281</v>
      </c>
      <c r="M52" s="187" t="s">
        <v>282</v>
      </c>
      <c r="N52" s="169">
        <v>2</v>
      </c>
      <c r="O52" s="170">
        <v>2</v>
      </c>
      <c r="P52" s="198">
        <v>0</v>
      </c>
      <c r="Q52" s="198">
        <v>0</v>
      </c>
      <c r="R52" s="199">
        <v>0</v>
      </c>
      <c r="S52" s="199">
        <v>0</v>
      </c>
      <c r="T52" s="199">
        <v>0</v>
      </c>
      <c r="U52" s="200">
        <v>0</v>
      </c>
      <c r="V52" s="199">
        <v>0</v>
      </c>
      <c r="W52" s="199">
        <v>0</v>
      </c>
      <c r="X52" s="199">
        <v>0</v>
      </c>
      <c r="Y52" s="201">
        <v>0</v>
      </c>
      <c r="Z52" s="202">
        <v>0</v>
      </c>
      <c r="AA52" s="203">
        <v>0</v>
      </c>
      <c r="AB52" s="198">
        <v>0</v>
      </c>
      <c r="AC52" s="175"/>
      <c r="AD52" s="241">
        <v>0.58333333333333337</v>
      </c>
      <c r="AE52" s="241">
        <v>0.65972222222222221</v>
      </c>
      <c r="AF52" s="158" t="s">
        <v>283</v>
      </c>
      <c r="AG52" s="174" t="s">
        <v>99</v>
      </c>
      <c r="AH52" s="159"/>
      <c r="AI52" s="138"/>
    </row>
    <row r="53" spans="1:35" s="137" customFormat="1" ht="18" customHeight="1" x14ac:dyDescent="0.25">
      <c r="A53" s="176">
        <v>46031</v>
      </c>
      <c r="B53" s="178" t="s">
        <v>284</v>
      </c>
      <c r="C53" s="181"/>
      <c r="D53" s="181"/>
      <c r="E53" s="181"/>
      <c r="F53" s="181">
        <v>3</v>
      </c>
      <c r="G53" s="181"/>
      <c r="H53" s="181"/>
      <c r="I53" s="181"/>
      <c r="J53" s="181"/>
      <c r="K53" s="175" t="s">
        <v>285</v>
      </c>
      <c r="L53" s="184" t="s">
        <v>286</v>
      </c>
      <c r="M53" s="187" t="s">
        <v>287</v>
      </c>
      <c r="N53" s="196">
        <v>3</v>
      </c>
      <c r="O53" s="197">
        <v>3</v>
      </c>
      <c r="P53" s="198">
        <v>0</v>
      </c>
      <c r="Q53" s="198">
        <v>0</v>
      </c>
      <c r="R53" s="199">
        <v>0</v>
      </c>
      <c r="S53" s="199">
        <v>0</v>
      </c>
      <c r="T53" s="199">
        <v>0</v>
      </c>
      <c r="U53" s="200">
        <v>0</v>
      </c>
      <c r="V53" s="199">
        <v>0</v>
      </c>
      <c r="W53" s="199">
        <v>0</v>
      </c>
      <c r="X53" s="199">
        <v>0</v>
      </c>
      <c r="Y53" s="201">
        <v>0</v>
      </c>
      <c r="Z53" s="202">
        <v>0</v>
      </c>
      <c r="AA53" s="203">
        <v>0</v>
      </c>
      <c r="AB53" s="198">
        <v>0</v>
      </c>
      <c r="AC53" s="175"/>
      <c r="AD53" s="186"/>
      <c r="AE53" s="240">
        <v>0.6875</v>
      </c>
      <c r="AF53" s="189" t="s">
        <v>98</v>
      </c>
      <c r="AG53" s="174" t="s">
        <v>99</v>
      </c>
      <c r="AH53" s="188"/>
    </row>
    <row r="54" spans="1:35" s="137" customFormat="1" ht="18" customHeight="1" x14ac:dyDescent="0.25">
      <c r="A54" s="176">
        <v>46031</v>
      </c>
      <c r="B54" s="177" t="s">
        <v>288</v>
      </c>
      <c r="C54" s="167"/>
      <c r="D54" s="167"/>
      <c r="E54" s="167"/>
      <c r="F54" s="167">
        <v>1</v>
      </c>
      <c r="G54" s="167"/>
      <c r="H54" s="167"/>
      <c r="I54" s="167"/>
      <c r="J54" s="167"/>
      <c r="K54" s="166" t="s">
        <v>289</v>
      </c>
      <c r="L54" s="184" t="s">
        <v>290</v>
      </c>
      <c r="M54" s="187" t="s">
        <v>291</v>
      </c>
      <c r="N54" s="221">
        <v>1</v>
      </c>
      <c r="O54" s="222">
        <v>1</v>
      </c>
      <c r="P54" s="198">
        <v>0</v>
      </c>
      <c r="Q54" s="198">
        <v>0</v>
      </c>
      <c r="R54" s="199">
        <v>0</v>
      </c>
      <c r="S54" s="199">
        <v>0</v>
      </c>
      <c r="T54" s="199">
        <v>0</v>
      </c>
      <c r="U54" s="200">
        <v>0</v>
      </c>
      <c r="V54" s="199">
        <v>0</v>
      </c>
      <c r="W54" s="199">
        <v>0</v>
      </c>
      <c r="X54" s="199">
        <v>0</v>
      </c>
      <c r="Y54" s="201">
        <v>0</v>
      </c>
      <c r="Z54" s="202">
        <v>0</v>
      </c>
      <c r="AA54" s="203">
        <v>0</v>
      </c>
      <c r="AB54" s="198">
        <v>0</v>
      </c>
      <c r="AC54" s="175"/>
      <c r="AD54" s="186"/>
      <c r="AE54" s="186"/>
      <c r="AF54" s="174" t="s">
        <v>168</v>
      </c>
      <c r="AG54" s="174" t="s">
        <v>99</v>
      </c>
      <c r="AH54" s="156" t="s">
        <v>292</v>
      </c>
      <c r="AI54" s="207"/>
    </row>
    <row r="55" spans="1:35" s="137" customFormat="1" ht="18" customHeight="1" x14ac:dyDescent="0.25">
      <c r="A55" s="176">
        <v>46034</v>
      </c>
      <c r="B55" s="223" t="s">
        <v>293</v>
      </c>
      <c r="C55" s="168"/>
      <c r="D55" s="168"/>
      <c r="E55" s="168"/>
      <c r="F55" s="168">
        <v>1</v>
      </c>
      <c r="G55" s="168"/>
      <c r="H55" s="168"/>
      <c r="I55" s="168"/>
      <c r="J55" s="168"/>
      <c r="K55" s="224" t="s">
        <v>150</v>
      </c>
      <c r="L55" s="223" t="s">
        <v>247</v>
      </c>
      <c r="M55" s="187" t="s">
        <v>294</v>
      </c>
      <c r="N55" s="221">
        <v>1</v>
      </c>
      <c r="O55" s="222">
        <v>1</v>
      </c>
      <c r="P55" s="198">
        <v>0</v>
      </c>
      <c r="Q55" s="198">
        <v>0</v>
      </c>
      <c r="R55" s="199">
        <v>0</v>
      </c>
      <c r="S55" s="199">
        <v>0</v>
      </c>
      <c r="T55" s="199">
        <v>0</v>
      </c>
      <c r="U55" s="200">
        <v>0</v>
      </c>
      <c r="V55" s="199">
        <v>0</v>
      </c>
      <c r="W55" s="199">
        <v>0</v>
      </c>
      <c r="X55" s="199">
        <v>0</v>
      </c>
      <c r="Y55" s="201">
        <v>0</v>
      </c>
      <c r="Z55" s="202">
        <v>0</v>
      </c>
      <c r="AA55" s="203">
        <v>0</v>
      </c>
      <c r="AB55" s="198">
        <v>0</v>
      </c>
      <c r="AC55" s="175"/>
      <c r="AD55" s="240">
        <v>0.4375</v>
      </c>
      <c r="AE55" s="240">
        <v>0.39583333333333331</v>
      </c>
      <c r="AF55" s="189" t="s">
        <v>98</v>
      </c>
      <c r="AG55" s="174" t="s">
        <v>99</v>
      </c>
      <c r="AH55" s="156"/>
    </row>
    <row r="56" spans="1:35" s="137" customFormat="1" ht="18" customHeight="1" x14ac:dyDescent="0.25">
      <c r="A56" s="176">
        <v>46034</v>
      </c>
      <c r="B56" s="184" t="s">
        <v>295</v>
      </c>
      <c r="C56" s="168">
        <v>1</v>
      </c>
      <c r="D56" s="168"/>
      <c r="E56" s="168"/>
      <c r="F56" s="168"/>
      <c r="G56" s="168"/>
      <c r="H56" s="168"/>
      <c r="I56" s="168"/>
      <c r="J56" s="168"/>
      <c r="K56" s="164" t="s">
        <v>296</v>
      </c>
      <c r="L56" s="184" t="s">
        <v>297</v>
      </c>
      <c r="M56" s="187" t="s">
        <v>298</v>
      </c>
      <c r="N56" s="221">
        <v>1</v>
      </c>
      <c r="O56" s="222">
        <v>1</v>
      </c>
      <c r="P56" s="198">
        <v>0</v>
      </c>
      <c r="Q56" s="198">
        <v>0</v>
      </c>
      <c r="R56" s="199">
        <v>0</v>
      </c>
      <c r="S56" s="199">
        <v>0</v>
      </c>
      <c r="T56" s="199">
        <v>0</v>
      </c>
      <c r="U56" s="200">
        <v>0</v>
      </c>
      <c r="V56" s="199">
        <v>0</v>
      </c>
      <c r="W56" s="199">
        <v>0</v>
      </c>
      <c r="X56" s="199">
        <v>0</v>
      </c>
      <c r="Y56" s="201">
        <v>0</v>
      </c>
      <c r="Z56" s="202">
        <v>0</v>
      </c>
      <c r="AA56" s="203">
        <v>0</v>
      </c>
      <c r="AB56" s="198">
        <v>0</v>
      </c>
      <c r="AC56" s="175"/>
      <c r="AD56" s="186"/>
      <c r="AE56" s="240">
        <v>0.4236111111111111</v>
      </c>
      <c r="AF56" s="189" t="s">
        <v>98</v>
      </c>
      <c r="AG56" s="174" t="s">
        <v>99</v>
      </c>
      <c r="AH56" s="188"/>
    </row>
    <row r="57" spans="1:35" s="137" customFormat="1" ht="18" customHeight="1" x14ac:dyDescent="0.25">
      <c r="A57" s="176">
        <v>46034</v>
      </c>
      <c r="B57" s="184" t="s">
        <v>246</v>
      </c>
      <c r="C57" s="168"/>
      <c r="D57" s="168"/>
      <c r="E57" s="168"/>
      <c r="F57" s="168">
        <v>1</v>
      </c>
      <c r="G57" s="168"/>
      <c r="H57" s="168"/>
      <c r="I57" s="168"/>
      <c r="J57" s="168"/>
      <c r="K57" s="164" t="s">
        <v>150</v>
      </c>
      <c r="L57" s="184" t="s">
        <v>247</v>
      </c>
      <c r="M57" s="187" t="s">
        <v>299</v>
      </c>
      <c r="N57" s="221">
        <v>1</v>
      </c>
      <c r="O57" s="222">
        <v>1</v>
      </c>
      <c r="P57" s="198">
        <v>0</v>
      </c>
      <c r="Q57" s="198">
        <v>0</v>
      </c>
      <c r="R57" s="199">
        <v>0</v>
      </c>
      <c r="S57" s="199">
        <v>0</v>
      </c>
      <c r="T57" s="199">
        <v>0</v>
      </c>
      <c r="U57" s="200">
        <v>0</v>
      </c>
      <c r="V57" s="199">
        <v>0</v>
      </c>
      <c r="W57" s="199">
        <v>0</v>
      </c>
      <c r="X57" s="199">
        <v>0</v>
      </c>
      <c r="Y57" s="201">
        <v>0</v>
      </c>
      <c r="Z57" s="202">
        <v>0</v>
      </c>
      <c r="AA57" s="203">
        <v>0</v>
      </c>
      <c r="AB57" s="198">
        <v>0</v>
      </c>
      <c r="AC57" s="175"/>
      <c r="AD57" s="241">
        <v>0.40972222222222227</v>
      </c>
      <c r="AE57" s="241">
        <v>0.4548611111111111</v>
      </c>
      <c r="AF57" s="189" t="s">
        <v>98</v>
      </c>
      <c r="AG57" s="174" t="s">
        <v>99</v>
      </c>
      <c r="AH57" s="188"/>
    </row>
    <row r="58" spans="1:35" s="142" customFormat="1" ht="18" customHeight="1" x14ac:dyDescent="0.25">
      <c r="A58" s="176">
        <v>46034</v>
      </c>
      <c r="B58" s="184" t="s">
        <v>195</v>
      </c>
      <c r="C58" s="168"/>
      <c r="D58" s="168"/>
      <c r="E58" s="168"/>
      <c r="F58" s="168">
        <v>1</v>
      </c>
      <c r="G58" s="168"/>
      <c r="H58" s="168"/>
      <c r="I58" s="168"/>
      <c r="J58" s="168"/>
      <c r="K58" s="225" t="s">
        <v>150</v>
      </c>
      <c r="L58" s="184" t="s">
        <v>247</v>
      </c>
      <c r="M58" s="187" t="s">
        <v>300</v>
      </c>
      <c r="N58" s="169">
        <v>1</v>
      </c>
      <c r="O58" s="170">
        <v>1</v>
      </c>
      <c r="P58" s="198">
        <v>0</v>
      </c>
      <c r="Q58" s="198">
        <v>0</v>
      </c>
      <c r="R58" s="199">
        <v>0</v>
      </c>
      <c r="S58" s="199">
        <v>0</v>
      </c>
      <c r="T58" s="199">
        <v>0</v>
      </c>
      <c r="U58" s="200">
        <v>0</v>
      </c>
      <c r="V58" s="199">
        <v>0</v>
      </c>
      <c r="W58" s="199">
        <v>0</v>
      </c>
      <c r="X58" s="199">
        <v>0</v>
      </c>
      <c r="Y58" s="201">
        <v>0</v>
      </c>
      <c r="Z58" s="202">
        <v>0</v>
      </c>
      <c r="AA58" s="203">
        <v>0</v>
      </c>
      <c r="AB58" s="198">
        <v>0</v>
      </c>
      <c r="AC58" s="175"/>
      <c r="AD58" s="241">
        <v>0.40625</v>
      </c>
      <c r="AE58" s="241">
        <v>0.5541666666666667</v>
      </c>
      <c r="AF58" s="189" t="s">
        <v>98</v>
      </c>
      <c r="AG58" s="174" t="s">
        <v>99</v>
      </c>
      <c r="AH58" s="188"/>
      <c r="AI58" s="138"/>
    </row>
    <row r="59" spans="1:35" s="137" customFormat="1" ht="18" customHeight="1" x14ac:dyDescent="0.25">
      <c r="A59" s="176">
        <v>46034</v>
      </c>
      <c r="B59" s="193" t="s">
        <v>301</v>
      </c>
      <c r="C59" s="164"/>
      <c r="D59" s="164"/>
      <c r="E59" s="164"/>
      <c r="F59" s="164">
        <v>1</v>
      </c>
      <c r="G59" s="164"/>
      <c r="H59" s="164"/>
      <c r="I59" s="164"/>
      <c r="J59" s="164"/>
      <c r="K59" s="225" t="s">
        <v>302</v>
      </c>
      <c r="L59" s="193" t="s">
        <v>303</v>
      </c>
      <c r="M59" s="187" t="s">
        <v>304</v>
      </c>
      <c r="N59" s="169">
        <v>1</v>
      </c>
      <c r="O59" s="170">
        <v>1</v>
      </c>
      <c r="P59" s="198">
        <v>0</v>
      </c>
      <c r="Q59" s="198">
        <v>0</v>
      </c>
      <c r="R59" s="199">
        <v>0</v>
      </c>
      <c r="S59" s="199">
        <v>0</v>
      </c>
      <c r="T59" s="199">
        <v>0</v>
      </c>
      <c r="U59" s="200">
        <v>0</v>
      </c>
      <c r="V59" s="199">
        <v>0</v>
      </c>
      <c r="W59" s="199">
        <v>0</v>
      </c>
      <c r="X59" s="199">
        <v>0</v>
      </c>
      <c r="Y59" s="201">
        <v>0</v>
      </c>
      <c r="Z59" s="202">
        <v>0</v>
      </c>
      <c r="AA59" s="203">
        <v>0</v>
      </c>
      <c r="AB59" s="198">
        <v>0</v>
      </c>
      <c r="AC59" s="175"/>
      <c r="AD59" s="241">
        <v>0.45694444444444443</v>
      </c>
      <c r="AE59" s="241">
        <v>0.57222222222222219</v>
      </c>
      <c r="AF59" s="189" t="s">
        <v>98</v>
      </c>
      <c r="AG59" s="174" t="s">
        <v>99</v>
      </c>
      <c r="AH59" s="188"/>
      <c r="AI59" s="138"/>
    </row>
    <row r="60" spans="1:35" s="137" customFormat="1" ht="18" customHeight="1" x14ac:dyDescent="0.25">
      <c r="A60" s="176">
        <v>46034</v>
      </c>
      <c r="B60" s="184" t="s">
        <v>305</v>
      </c>
      <c r="C60" s="164"/>
      <c r="D60" s="164"/>
      <c r="E60" s="164"/>
      <c r="F60" s="164">
        <v>1</v>
      </c>
      <c r="G60" s="164"/>
      <c r="H60" s="164"/>
      <c r="I60" s="164"/>
      <c r="J60" s="164"/>
      <c r="K60" s="164" t="s">
        <v>261</v>
      </c>
      <c r="L60" s="184" t="s">
        <v>260</v>
      </c>
      <c r="M60" s="187" t="s">
        <v>306</v>
      </c>
      <c r="N60" s="169">
        <v>1</v>
      </c>
      <c r="O60" s="170">
        <v>1</v>
      </c>
      <c r="P60" s="198">
        <v>0</v>
      </c>
      <c r="Q60" s="198">
        <v>0</v>
      </c>
      <c r="R60" s="199">
        <v>0</v>
      </c>
      <c r="S60" s="199">
        <v>0</v>
      </c>
      <c r="T60" s="199">
        <v>0</v>
      </c>
      <c r="U60" s="200">
        <v>0</v>
      </c>
      <c r="V60" s="199">
        <v>0</v>
      </c>
      <c r="W60" s="199">
        <v>0</v>
      </c>
      <c r="X60" s="199">
        <v>0</v>
      </c>
      <c r="Y60" s="201">
        <v>0</v>
      </c>
      <c r="Z60" s="202">
        <v>0</v>
      </c>
      <c r="AA60" s="203">
        <v>0</v>
      </c>
      <c r="AB60" s="198">
        <v>0</v>
      </c>
      <c r="AC60" s="175"/>
      <c r="AD60" s="241">
        <v>0.41666666666666669</v>
      </c>
      <c r="AE60" s="241">
        <v>0.54722222222222217</v>
      </c>
      <c r="AF60" s="189" t="s">
        <v>98</v>
      </c>
      <c r="AG60" s="174" t="s">
        <v>99</v>
      </c>
      <c r="AH60" s="159"/>
      <c r="AI60" s="138"/>
    </row>
    <row r="61" spans="1:35" s="138" customFormat="1" ht="18" customHeight="1" x14ac:dyDescent="0.25">
      <c r="A61" s="176">
        <v>46034</v>
      </c>
      <c r="B61" s="184" t="s">
        <v>307</v>
      </c>
      <c r="C61" s="164"/>
      <c r="D61" s="164"/>
      <c r="E61" s="164"/>
      <c r="F61" s="164"/>
      <c r="G61" s="164"/>
      <c r="H61" s="164"/>
      <c r="I61" s="164">
        <v>4</v>
      </c>
      <c r="J61" s="164"/>
      <c r="K61" s="164" t="s">
        <v>308</v>
      </c>
      <c r="L61" s="184" t="s">
        <v>309</v>
      </c>
      <c r="M61" s="187" t="s">
        <v>310</v>
      </c>
      <c r="N61" s="169">
        <v>4</v>
      </c>
      <c r="O61" s="170">
        <v>4</v>
      </c>
      <c r="P61" s="198">
        <v>0</v>
      </c>
      <c r="Q61" s="198">
        <v>0</v>
      </c>
      <c r="R61" s="199">
        <v>0</v>
      </c>
      <c r="S61" s="199">
        <v>0</v>
      </c>
      <c r="T61" s="199">
        <v>0</v>
      </c>
      <c r="U61" s="200">
        <v>0</v>
      </c>
      <c r="V61" s="199">
        <v>0</v>
      </c>
      <c r="W61" s="199">
        <v>0</v>
      </c>
      <c r="X61" s="199">
        <v>0</v>
      </c>
      <c r="Y61" s="201">
        <v>0</v>
      </c>
      <c r="Z61" s="202">
        <v>0</v>
      </c>
      <c r="AA61" s="203">
        <v>0</v>
      </c>
      <c r="AB61" s="198">
        <v>0</v>
      </c>
      <c r="AC61" s="175"/>
      <c r="AD61" s="241">
        <v>0.66666666666666663</v>
      </c>
      <c r="AE61" s="241">
        <v>0.71527777777777779</v>
      </c>
      <c r="AF61" s="158" t="s">
        <v>98</v>
      </c>
      <c r="AG61" s="174" t="s">
        <v>99</v>
      </c>
      <c r="AH61" s="159" t="s">
        <v>311</v>
      </c>
    </row>
    <row r="62" spans="1:35" s="138" customFormat="1" ht="18" customHeight="1" x14ac:dyDescent="0.25">
      <c r="A62" s="176">
        <v>46035</v>
      </c>
      <c r="B62" s="184" t="s">
        <v>312</v>
      </c>
      <c r="C62" s="164"/>
      <c r="D62" s="164"/>
      <c r="E62" s="164"/>
      <c r="F62" s="164">
        <v>1</v>
      </c>
      <c r="G62" s="164"/>
      <c r="H62" s="164"/>
      <c r="I62" s="164"/>
      <c r="J62" s="164"/>
      <c r="K62" s="164" t="s">
        <v>313</v>
      </c>
      <c r="L62" s="184" t="s">
        <v>314</v>
      </c>
      <c r="M62" s="187" t="s">
        <v>315</v>
      </c>
      <c r="N62" s="169">
        <v>1</v>
      </c>
      <c r="O62" s="170">
        <v>1</v>
      </c>
      <c r="P62" s="198">
        <v>0</v>
      </c>
      <c r="Q62" s="198">
        <v>0</v>
      </c>
      <c r="R62" s="199">
        <v>0</v>
      </c>
      <c r="S62" s="199">
        <v>0</v>
      </c>
      <c r="T62" s="199">
        <v>0</v>
      </c>
      <c r="U62" s="200">
        <v>0</v>
      </c>
      <c r="V62" s="199">
        <v>0</v>
      </c>
      <c r="W62" s="199">
        <v>0</v>
      </c>
      <c r="X62" s="199">
        <v>0</v>
      </c>
      <c r="Y62" s="201">
        <v>0</v>
      </c>
      <c r="Z62" s="202">
        <v>0</v>
      </c>
      <c r="AA62" s="203">
        <v>0</v>
      </c>
      <c r="AB62" s="198">
        <v>0</v>
      </c>
      <c r="AC62" s="175"/>
      <c r="AD62" s="176" t="s">
        <v>316</v>
      </c>
      <c r="AE62" s="241">
        <v>0.37847222222222227</v>
      </c>
      <c r="AF62" s="158" t="s">
        <v>98</v>
      </c>
      <c r="AG62" s="174" t="s">
        <v>99</v>
      </c>
      <c r="AH62" s="159"/>
    </row>
    <row r="63" spans="1:35" s="138" customFormat="1" ht="18" customHeight="1" x14ac:dyDescent="0.25">
      <c r="A63" s="176">
        <v>46035</v>
      </c>
      <c r="B63" s="184" t="s">
        <v>249</v>
      </c>
      <c r="C63" s="180"/>
      <c r="D63" s="180"/>
      <c r="E63" s="180"/>
      <c r="F63" s="180">
        <v>1</v>
      </c>
      <c r="G63" s="180"/>
      <c r="H63" s="180"/>
      <c r="I63" s="180"/>
      <c r="J63" s="180"/>
      <c r="K63" s="164" t="s">
        <v>250</v>
      </c>
      <c r="L63" s="184" t="s">
        <v>317</v>
      </c>
      <c r="M63" s="187" t="s">
        <v>318</v>
      </c>
      <c r="N63" s="221">
        <v>1</v>
      </c>
      <c r="O63" s="222">
        <v>1</v>
      </c>
      <c r="P63" s="198">
        <v>0</v>
      </c>
      <c r="Q63" s="198">
        <v>0</v>
      </c>
      <c r="R63" s="199">
        <v>0</v>
      </c>
      <c r="S63" s="199">
        <v>0</v>
      </c>
      <c r="T63" s="199">
        <v>0</v>
      </c>
      <c r="U63" s="200">
        <v>0</v>
      </c>
      <c r="V63" s="199">
        <v>0</v>
      </c>
      <c r="W63" s="199">
        <v>0</v>
      </c>
      <c r="X63" s="199">
        <v>0</v>
      </c>
      <c r="Y63" s="201">
        <v>0</v>
      </c>
      <c r="Z63" s="202">
        <v>0</v>
      </c>
      <c r="AA63" s="203">
        <v>0</v>
      </c>
      <c r="AB63" s="198">
        <v>0</v>
      </c>
      <c r="AC63" s="175"/>
      <c r="AD63" s="186" t="s">
        <v>319</v>
      </c>
      <c r="AE63" s="240">
        <v>0.3888888888888889</v>
      </c>
      <c r="AF63" s="174" t="s">
        <v>168</v>
      </c>
      <c r="AG63" s="174" t="s">
        <v>99</v>
      </c>
      <c r="AH63" s="226" t="s">
        <v>320</v>
      </c>
      <c r="AI63" s="86"/>
    </row>
    <row r="64" spans="1:35" s="138" customFormat="1" ht="18" customHeight="1" x14ac:dyDescent="0.25">
      <c r="A64" s="176">
        <v>46035</v>
      </c>
      <c r="B64" s="184" t="s">
        <v>321</v>
      </c>
      <c r="C64" s="180"/>
      <c r="D64" s="180"/>
      <c r="E64" s="180"/>
      <c r="F64" s="180">
        <v>1</v>
      </c>
      <c r="G64" s="180">
        <v>1</v>
      </c>
      <c r="H64" s="180"/>
      <c r="I64" s="180"/>
      <c r="J64" s="180"/>
      <c r="K64" s="164" t="s">
        <v>313</v>
      </c>
      <c r="L64" s="184" t="s">
        <v>322</v>
      </c>
      <c r="M64" s="187" t="s">
        <v>323</v>
      </c>
      <c r="N64" s="221">
        <v>1</v>
      </c>
      <c r="O64" s="222">
        <v>1</v>
      </c>
      <c r="P64" s="198">
        <v>0</v>
      </c>
      <c r="Q64" s="198">
        <v>0</v>
      </c>
      <c r="R64" s="199">
        <v>0</v>
      </c>
      <c r="S64" s="199">
        <v>0</v>
      </c>
      <c r="T64" s="199">
        <v>0</v>
      </c>
      <c r="U64" s="200">
        <v>0</v>
      </c>
      <c r="V64" s="199">
        <v>0</v>
      </c>
      <c r="W64" s="199">
        <v>0</v>
      </c>
      <c r="X64" s="199">
        <v>0</v>
      </c>
      <c r="Y64" s="201">
        <v>0</v>
      </c>
      <c r="Z64" s="202">
        <v>0</v>
      </c>
      <c r="AA64" s="203">
        <v>0</v>
      </c>
      <c r="AB64" s="198">
        <v>0</v>
      </c>
      <c r="AC64" s="175"/>
      <c r="AD64" s="240" t="s">
        <v>316</v>
      </c>
      <c r="AE64" s="240">
        <v>0.42708333333333331</v>
      </c>
      <c r="AF64" s="174" t="s">
        <v>98</v>
      </c>
      <c r="AG64" s="174" t="s">
        <v>99</v>
      </c>
      <c r="AH64" s="227"/>
      <c r="AI64" s="86"/>
    </row>
    <row r="65" spans="1:35" s="138" customFormat="1" ht="18" customHeight="1" x14ac:dyDescent="0.25">
      <c r="A65" s="176">
        <v>46035</v>
      </c>
      <c r="B65" s="184" t="s">
        <v>324</v>
      </c>
      <c r="C65" s="263">
        <v>1</v>
      </c>
      <c r="D65" s="228"/>
      <c r="E65" s="181"/>
      <c r="F65" s="181"/>
      <c r="G65" s="181"/>
      <c r="H65" s="181"/>
      <c r="I65" s="181"/>
      <c r="J65" s="181"/>
      <c r="K65" s="175" t="s">
        <v>181</v>
      </c>
      <c r="L65" s="184" t="s">
        <v>325</v>
      </c>
      <c r="M65" s="187" t="s">
        <v>326</v>
      </c>
      <c r="N65" s="221">
        <v>1</v>
      </c>
      <c r="O65" s="222">
        <v>1</v>
      </c>
      <c r="P65" s="198">
        <v>0</v>
      </c>
      <c r="Q65" s="198">
        <v>0</v>
      </c>
      <c r="R65" s="199">
        <v>0</v>
      </c>
      <c r="S65" s="199">
        <v>0</v>
      </c>
      <c r="T65" s="199">
        <v>0</v>
      </c>
      <c r="U65" s="200">
        <v>0</v>
      </c>
      <c r="V65" s="199">
        <v>0</v>
      </c>
      <c r="W65" s="199">
        <v>0</v>
      </c>
      <c r="X65" s="199">
        <v>0</v>
      </c>
      <c r="Y65" s="201">
        <v>0</v>
      </c>
      <c r="Z65" s="202">
        <v>0</v>
      </c>
      <c r="AA65" s="203">
        <v>0</v>
      </c>
      <c r="AB65" s="198">
        <v>0</v>
      </c>
      <c r="AC65" s="175"/>
      <c r="AD65" s="186" t="s">
        <v>327</v>
      </c>
      <c r="AE65" s="240">
        <v>0.46875</v>
      </c>
      <c r="AF65" s="174" t="s">
        <v>98</v>
      </c>
      <c r="AG65" s="174" t="s">
        <v>99</v>
      </c>
      <c r="AH65" s="227"/>
      <c r="AI65" s="136"/>
    </row>
    <row r="66" spans="1:35" s="138" customFormat="1" ht="18" customHeight="1" x14ac:dyDescent="0.25">
      <c r="A66" s="176">
        <v>46035</v>
      </c>
      <c r="B66" s="177" t="s">
        <v>328</v>
      </c>
      <c r="C66" s="229"/>
      <c r="D66" s="167"/>
      <c r="E66" s="229"/>
      <c r="F66" s="167">
        <v>3</v>
      </c>
      <c r="G66" s="167"/>
      <c r="H66" s="167"/>
      <c r="I66" s="167"/>
      <c r="J66" s="167"/>
      <c r="K66" s="166" t="s">
        <v>285</v>
      </c>
      <c r="L66" s="177" t="s">
        <v>329</v>
      </c>
      <c r="M66" s="187" t="s">
        <v>330</v>
      </c>
      <c r="N66" s="221">
        <v>3</v>
      </c>
      <c r="O66" s="222">
        <v>3</v>
      </c>
      <c r="P66" s="198">
        <v>0</v>
      </c>
      <c r="Q66" s="198">
        <v>0</v>
      </c>
      <c r="R66" s="199">
        <v>0</v>
      </c>
      <c r="S66" s="199">
        <v>0</v>
      </c>
      <c r="T66" s="199">
        <v>0</v>
      </c>
      <c r="U66" s="200">
        <v>0</v>
      </c>
      <c r="V66" s="199">
        <v>0</v>
      </c>
      <c r="W66" s="199">
        <v>0</v>
      </c>
      <c r="X66" s="199">
        <v>0</v>
      </c>
      <c r="Y66" s="201">
        <v>0</v>
      </c>
      <c r="Z66" s="202">
        <v>0</v>
      </c>
      <c r="AA66" s="203">
        <v>0</v>
      </c>
      <c r="AB66" s="198">
        <v>0</v>
      </c>
      <c r="AC66" s="175"/>
      <c r="AD66" s="186" t="s">
        <v>331</v>
      </c>
      <c r="AE66" s="240">
        <v>0.3923611111111111</v>
      </c>
      <c r="AF66" s="174" t="s">
        <v>117</v>
      </c>
      <c r="AG66" s="174" t="s">
        <v>99</v>
      </c>
      <c r="AH66" s="206"/>
      <c r="AI66" s="207"/>
    </row>
    <row r="67" spans="1:35" s="138" customFormat="1" ht="18" customHeight="1" x14ac:dyDescent="0.25">
      <c r="A67" s="176">
        <v>46035</v>
      </c>
      <c r="B67" s="177" t="s">
        <v>332</v>
      </c>
      <c r="C67" s="167"/>
      <c r="D67" s="167"/>
      <c r="E67" s="167"/>
      <c r="F67" s="167">
        <v>1</v>
      </c>
      <c r="G67" s="167"/>
      <c r="H67" s="167"/>
      <c r="I67" s="167"/>
      <c r="J67" s="167"/>
      <c r="K67" s="166" t="s">
        <v>333</v>
      </c>
      <c r="L67" s="184" t="s">
        <v>334</v>
      </c>
      <c r="M67" s="187" t="s">
        <v>335</v>
      </c>
      <c r="N67" s="221">
        <v>1</v>
      </c>
      <c r="O67" s="222">
        <v>1</v>
      </c>
      <c r="P67" s="198">
        <v>0</v>
      </c>
      <c r="Q67" s="198">
        <v>0</v>
      </c>
      <c r="R67" s="199">
        <v>0</v>
      </c>
      <c r="S67" s="199">
        <v>0</v>
      </c>
      <c r="T67" s="199">
        <v>0</v>
      </c>
      <c r="U67" s="200">
        <v>0</v>
      </c>
      <c r="V67" s="199">
        <v>0</v>
      </c>
      <c r="W67" s="199">
        <v>0</v>
      </c>
      <c r="X67" s="199">
        <v>0</v>
      </c>
      <c r="Y67" s="201">
        <v>0</v>
      </c>
      <c r="Z67" s="202">
        <v>0</v>
      </c>
      <c r="AA67" s="203">
        <v>0</v>
      </c>
      <c r="AB67" s="198">
        <v>0</v>
      </c>
      <c r="AC67" s="175"/>
      <c r="AD67" s="240">
        <v>0.4513888888888889</v>
      </c>
      <c r="AE67" s="240">
        <v>0.53611111111111109</v>
      </c>
      <c r="AF67" s="174" t="s">
        <v>98</v>
      </c>
      <c r="AG67" s="174" t="s">
        <v>99</v>
      </c>
      <c r="AH67" s="156"/>
      <c r="AI67" s="207"/>
    </row>
    <row r="68" spans="1:35" s="138" customFormat="1" ht="18" customHeight="1" x14ac:dyDescent="0.25">
      <c r="A68" s="176">
        <v>46035</v>
      </c>
      <c r="B68" s="177" t="s">
        <v>336</v>
      </c>
      <c r="C68" s="167"/>
      <c r="D68" s="167"/>
      <c r="E68" s="167"/>
      <c r="F68" s="167"/>
      <c r="G68" s="167"/>
      <c r="H68" s="167"/>
      <c r="I68" s="167"/>
      <c r="J68" s="167">
        <v>8</v>
      </c>
      <c r="K68" s="166" t="s">
        <v>129</v>
      </c>
      <c r="L68" s="184" t="s">
        <v>337</v>
      </c>
      <c r="M68" s="187" t="s">
        <v>338</v>
      </c>
      <c r="N68" s="221">
        <v>8</v>
      </c>
      <c r="O68" s="222">
        <v>8</v>
      </c>
      <c r="P68" s="198">
        <v>0</v>
      </c>
      <c r="Q68" s="198">
        <v>0</v>
      </c>
      <c r="R68" s="199">
        <v>0</v>
      </c>
      <c r="S68" s="199">
        <v>0</v>
      </c>
      <c r="T68" s="199">
        <v>0</v>
      </c>
      <c r="U68" s="200">
        <v>0</v>
      </c>
      <c r="V68" s="199">
        <v>0</v>
      </c>
      <c r="W68" s="199">
        <v>0</v>
      </c>
      <c r="X68" s="199">
        <v>0</v>
      </c>
      <c r="Y68" s="201">
        <v>0</v>
      </c>
      <c r="Z68" s="202">
        <v>0</v>
      </c>
      <c r="AA68" s="203">
        <v>0</v>
      </c>
      <c r="AB68" s="198">
        <v>0</v>
      </c>
      <c r="AC68" s="175"/>
      <c r="AD68" s="240">
        <v>0.5</v>
      </c>
      <c r="AE68" s="240">
        <v>0.58680555555555558</v>
      </c>
      <c r="AF68" s="174" t="s">
        <v>98</v>
      </c>
      <c r="AG68" s="174" t="s">
        <v>99</v>
      </c>
      <c r="AH68" s="206"/>
      <c r="AI68" s="207"/>
    </row>
    <row r="69" spans="1:35" s="138" customFormat="1" ht="18" customHeight="1" x14ac:dyDescent="0.25">
      <c r="A69" s="176">
        <v>46035</v>
      </c>
      <c r="B69" s="223" t="s">
        <v>339</v>
      </c>
      <c r="C69" s="168"/>
      <c r="D69" s="168"/>
      <c r="E69" s="168"/>
      <c r="F69" s="168">
        <v>2</v>
      </c>
      <c r="G69" s="168"/>
      <c r="H69" s="168"/>
      <c r="I69" s="168"/>
      <c r="J69" s="168"/>
      <c r="K69" s="224" t="s">
        <v>129</v>
      </c>
      <c r="L69" s="223" t="s">
        <v>337</v>
      </c>
      <c r="M69" s="187" t="s">
        <v>340</v>
      </c>
      <c r="N69" s="221">
        <v>2</v>
      </c>
      <c r="O69" s="222">
        <v>2</v>
      </c>
      <c r="P69" s="198">
        <v>0</v>
      </c>
      <c r="Q69" s="198">
        <v>0</v>
      </c>
      <c r="R69" s="199">
        <v>0</v>
      </c>
      <c r="S69" s="199">
        <v>0</v>
      </c>
      <c r="T69" s="199">
        <v>0</v>
      </c>
      <c r="U69" s="200">
        <v>0</v>
      </c>
      <c r="V69" s="199">
        <v>0</v>
      </c>
      <c r="W69" s="199">
        <v>0</v>
      </c>
      <c r="X69" s="199">
        <v>0</v>
      </c>
      <c r="Y69" s="201">
        <v>0</v>
      </c>
      <c r="Z69" s="202">
        <v>0</v>
      </c>
      <c r="AA69" s="203">
        <v>0</v>
      </c>
      <c r="AB69" s="198">
        <v>0</v>
      </c>
      <c r="AC69" s="175"/>
      <c r="AD69" s="186"/>
      <c r="AE69" s="240">
        <v>0.61111111111111105</v>
      </c>
      <c r="AF69" s="189" t="s">
        <v>98</v>
      </c>
      <c r="AG69" s="174" t="s">
        <v>99</v>
      </c>
      <c r="AH69" s="188" t="s">
        <v>372</v>
      </c>
      <c r="AI69" s="137" t="s">
        <v>86</v>
      </c>
    </row>
    <row r="70" spans="1:35" s="138" customFormat="1" ht="18" customHeight="1" x14ac:dyDescent="0.25">
      <c r="A70" s="176">
        <v>46035</v>
      </c>
      <c r="B70" s="193" t="s">
        <v>341</v>
      </c>
      <c r="C70" s="168"/>
      <c r="D70" s="168"/>
      <c r="E70" s="168"/>
      <c r="F70" s="168">
        <v>1</v>
      </c>
      <c r="G70" s="168"/>
      <c r="H70" s="168"/>
      <c r="I70" s="168"/>
      <c r="J70" s="168"/>
      <c r="K70" s="164" t="s">
        <v>342</v>
      </c>
      <c r="L70" s="193" t="s">
        <v>343</v>
      </c>
      <c r="M70" s="187" t="s">
        <v>344</v>
      </c>
      <c r="N70" s="221">
        <v>1</v>
      </c>
      <c r="O70" s="222">
        <v>1</v>
      </c>
      <c r="P70" s="198">
        <v>0</v>
      </c>
      <c r="Q70" s="198">
        <v>0</v>
      </c>
      <c r="R70" s="199">
        <v>0</v>
      </c>
      <c r="S70" s="199">
        <v>0</v>
      </c>
      <c r="T70" s="199">
        <v>0</v>
      </c>
      <c r="U70" s="200">
        <v>0</v>
      </c>
      <c r="V70" s="199">
        <v>0</v>
      </c>
      <c r="W70" s="199">
        <v>0</v>
      </c>
      <c r="X70" s="199">
        <v>0</v>
      </c>
      <c r="Y70" s="201">
        <v>0</v>
      </c>
      <c r="Z70" s="202">
        <v>0</v>
      </c>
      <c r="AA70" s="203">
        <v>0</v>
      </c>
      <c r="AB70" s="198">
        <v>0</v>
      </c>
      <c r="AC70" s="175"/>
      <c r="AD70" s="240">
        <v>0.61805555555555558</v>
      </c>
      <c r="AE70" s="240">
        <v>0.64583333333333337</v>
      </c>
      <c r="AF70" s="189" t="s">
        <v>98</v>
      </c>
      <c r="AG70" s="174" t="s">
        <v>99</v>
      </c>
      <c r="AH70" s="188"/>
      <c r="AI70" s="137"/>
    </row>
    <row r="71" spans="1:35" s="138" customFormat="1" ht="18" customHeight="1" x14ac:dyDescent="0.25">
      <c r="A71" s="176">
        <v>46035</v>
      </c>
      <c r="B71" s="193" t="s">
        <v>345</v>
      </c>
      <c r="C71" s="168"/>
      <c r="D71" s="168"/>
      <c r="E71" s="168"/>
      <c r="F71" s="168">
        <v>4</v>
      </c>
      <c r="G71" s="168"/>
      <c r="H71" s="168"/>
      <c r="I71" s="168"/>
      <c r="J71" s="168"/>
      <c r="K71" s="164" t="s">
        <v>346</v>
      </c>
      <c r="L71" s="193" t="s">
        <v>347</v>
      </c>
      <c r="M71" s="187" t="s">
        <v>348</v>
      </c>
      <c r="N71" s="221">
        <v>4</v>
      </c>
      <c r="O71" s="222">
        <v>4</v>
      </c>
      <c r="P71" s="198">
        <v>0</v>
      </c>
      <c r="Q71" s="198">
        <v>0</v>
      </c>
      <c r="R71" s="199">
        <v>0</v>
      </c>
      <c r="S71" s="199">
        <v>0</v>
      </c>
      <c r="T71" s="199">
        <v>0</v>
      </c>
      <c r="U71" s="200">
        <v>0</v>
      </c>
      <c r="V71" s="199">
        <v>0</v>
      </c>
      <c r="W71" s="199">
        <v>0</v>
      </c>
      <c r="X71" s="199">
        <v>0</v>
      </c>
      <c r="Y71" s="201">
        <v>0</v>
      </c>
      <c r="Z71" s="202">
        <v>0</v>
      </c>
      <c r="AA71" s="203">
        <v>0</v>
      </c>
      <c r="AB71" s="198">
        <v>0</v>
      </c>
      <c r="AC71" s="175"/>
      <c r="AD71" s="240">
        <v>0.69027777777777777</v>
      </c>
      <c r="AE71" s="240">
        <v>0.64930555555555558</v>
      </c>
      <c r="AF71" s="189" t="s">
        <v>117</v>
      </c>
      <c r="AG71" s="174" t="s">
        <v>99</v>
      </c>
      <c r="AH71" s="188"/>
      <c r="AI71" s="137"/>
    </row>
    <row r="72" spans="1:35" s="313" customFormat="1" ht="18" customHeight="1" x14ac:dyDescent="0.25">
      <c r="A72" s="294">
        <v>46035</v>
      </c>
      <c r="B72" s="295" t="s">
        <v>349</v>
      </c>
      <c r="C72" s="296"/>
      <c r="D72" s="296"/>
      <c r="E72" s="296"/>
      <c r="F72" s="296"/>
      <c r="G72" s="296">
        <v>2</v>
      </c>
      <c r="H72" s="296"/>
      <c r="I72" s="296"/>
      <c r="J72" s="296"/>
      <c r="K72" s="297" t="s">
        <v>350</v>
      </c>
      <c r="L72" s="295" t="s">
        <v>351</v>
      </c>
      <c r="M72" s="298" t="s">
        <v>352</v>
      </c>
      <c r="N72" s="299">
        <v>2</v>
      </c>
      <c r="O72" s="300">
        <v>2</v>
      </c>
      <c r="P72" s="301">
        <v>0</v>
      </c>
      <c r="Q72" s="301">
        <v>0</v>
      </c>
      <c r="R72" s="302">
        <v>0</v>
      </c>
      <c r="S72" s="302">
        <v>0</v>
      </c>
      <c r="T72" s="302">
        <v>0</v>
      </c>
      <c r="U72" s="303">
        <v>0</v>
      </c>
      <c r="V72" s="302">
        <v>0</v>
      </c>
      <c r="W72" s="302">
        <v>0</v>
      </c>
      <c r="X72" s="302">
        <v>0</v>
      </c>
      <c r="Y72" s="304">
        <v>0</v>
      </c>
      <c r="Z72" s="305">
        <v>0</v>
      </c>
      <c r="AA72" s="306">
        <v>0</v>
      </c>
      <c r="AB72" s="301">
        <v>0</v>
      </c>
      <c r="AC72" s="307"/>
      <c r="AD72" s="308">
        <v>0.64583333333333337</v>
      </c>
      <c r="AE72" s="308">
        <v>0.6875</v>
      </c>
      <c r="AF72" s="309" t="s">
        <v>98</v>
      </c>
      <c r="AG72" s="310" t="s">
        <v>99</v>
      </c>
      <c r="AH72" s="311"/>
      <c r="AI72" s="312"/>
    </row>
    <row r="73" spans="1:35" s="138" customFormat="1" ht="18" customHeight="1" x14ac:dyDescent="0.25">
      <c r="A73" s="176">
        <v>46035</v>
      </c>
      <c r="B73" s="178" t="s">
        <v>355</v>
      </c>
      <c r="C73" s="168"/>
      <c r="D73" s="168"/>
      <c r="E73" s="168"/>
      <c r="F73" s="168"/>
      <c r="G73" s="168"/>
      <c r="H73" s="168"/>
      <c r="I73" s="168">
        <v>2</v>
      </c>
      <c r="J73" s="168"/>
      <c r="K73" s="164" t="s">
        <v>353</v>
      </c>
      <c r="L73" s="184" t="s">
        <v>354</v>
      </c>
      <c r="M73" s="187" t="s">
        <v>356</v>
      </c>
      <c r="N73" s="221">
        <v>2</v>
      </c>
      <c r="O73" s="222">
        <v>2</v>
      </c>
      <c r="P73" s="198">
        <v>0</v>
      </c>
      <c r="Q73" s="198">
        <v>0</v>
      </c>
      <c r="R73" s="199">
        <v>0</v>
      </c>
      <c r="S73" s="199">
        <v>0</v>
      </c>
      <c r="T73" s="199">
        <v>0</v>
      </c>
      <c r="U73" s="200">
        <v>0</v>
      </c>
      <c r="V73" s="199">
        <v>0</v>
      </c>
      <c r="W73" s="199">
        <v>0</v>
      </c>
      <c r="X73" s="199">
        <v>0</v>
      </c>
      <c r="Y73" s="201">
        <v>0</v>
      </c>
      <c r="Z73" s="202">
        <v>0</v>
      </c>
      <c r="AA73" s="203">
        <v>0</v>
      </c>
      <c r="AB73" s="198">
        <v>0</v>
      </c>
      <c r="AC73" s="175"/>
      <c r="AD73" s="240">
        <v>0.63194444444444442</v>
      </c>
      <c r="AE73" s="240">
        <v>0.6875</v>
      </c>
      <c r="AF73" s="189" t="s">
        <v>117</v>
      </c>
      <c r="AG73" s="174" t="s">
        <v>99</v>
      </c>
      <c r="AH73" s="188"/>
      <c r="AI73" s="137"/>
    </row>
    <row r="74" spans="1:35" s="138" customFormat="1" ht="18" customHeight="1" x14ac:dyDescent="0.25">
      <c r="A74" s="176">
        <v>46035</v>
      </c>
      <c r="B74" s="178" t="s">
        <v>358</v>
      </c>
      <c r="C74" s="168">
        <v>1</v>
      </c>
      <c r="D74" s="168"/>
      <c r="E74" s="168">
        <v>1</v>
      </c>
      <c r="F74" s="168"/>
      <c r="G74" s="168"/>
      <c r="H74" s="168"/>
      <c r="I74" s="168"/>
      <c r="J74" s="168"/>
      <c r="K74" s="164" t="s">
        <v>357</v>
      </c>
      <c r="L74" s="184" t="s">
        <v>359</v>
      </c>
      <c r="M74" s="187" t="s">
        <v>360</v>
      </c>
      <c r="N74" s="221">
        <v>1</v>
      </c>
      <c r="O74" s="222">
        <v>1</v>
      </c>
      <c r="P74" s="198">
        <v>0</v>
      </c>
      <c r="Q74" s="198">
        <v>0</v>
      </c>
      <c r="R74" s="199">
        <v>0</v>
      </c>
      <c r="S74" s="199">
        <v>0</v>
      </c>
      <c r="T74" s="199">
        <v>0</v>
      </c>
      <c r="U74" s="200">
        <v>0</v>
      </c>
      <c r="V74" s="199">
        <v>0</v>
      </c>
      <c r="W74" s="199">
        <v>0</v>
      </c>
      <c r="X74" s="199">
        <v>0</v>
      </c>
      <c r="Y74" s="201">
        <v>0</v>
      </c>
      <c r="Z74" s="202">
        <v>0</v>
      </c>
      <c r="AA74" s="203">
        <v>0</v>
      </c>
      <c r="AB74" s="198">
        <v>0</v>
      </c>
      <c r="AC74" s="175"/>
      <c r="AD74" s="240">
        <v>0.68888888888888899</v>
      </c>
      <c r="AE74" s="240">
        <v>0.75694444444444453</v>
      </c>
      <c r="AF74" s="189" t="s">
        <v>98</v>
      </c>
      <c r="AG74" s="174" t="s">
        <v>99</v>
      </c>
      <c r="AH74" s="188" t="s">
        <v>361</v>
      </c>
      <c r="AI74" s="137"/>
    </row>
    <row r="75" spans="1:35" s="138" customFormat="1" ht="18" customHeight="1" x14ac:dyDescent="0.25">
      <c r="A75" s="176">
        <v>46036</v>
      </c>
      <c r="B75" s="178" t="s">
        <v>362</v>
      </c>
      <c r="C75" s="168"/>
      <c r="D75" s="168"/>
      <c r="E75" s="168"/>
      <c r="F75" s="168">
        <v>1</v>
      </c>
      <c r="G75" s="168"/>
      <c r="H75" s="168"/>
      <c r="I75" s="168"/>
      <c r="J75" s="168"/>
      <c r="K75" s="164" t="s">
        <v>150</v>
      </c>
      <c r="L75" s="184" t="s">
        <v>363</v>
      </c>
      <c r="M75" s="187" t="s">
        <v>364</v>
      </c>
      <c r="N75" s="221">
        <v>1</v>
      </c>
      <c r="O75" s="222">
        <v>1</v>
      </c>
      <c r="P75" s="198">
        <v>0</v>
      </c>
      <c r="Q75" s="198">
        <v>0</v>
      </c>
      <c r="R75" s="199">
        <v>0</v>
      </c>
      <c r="S75" s="199">
        <v>0</v>
      </c>
      <c r="T75" s="199">
        <v>0</v>
      </c>
      <c r="U75" s="200">
        <v>0</v>
      </c>
      <c r="V75" s="199">
        <v>0</v>
      </c>
      <c r="W75" s="199">
        <v>0</v>
      </c>
      <c r="X75" s="199">
        <v>0</v>
      </c>
      <c r="Y75" s="201">
        <v>0</v>
      </c>
      <c r="Z75" s="202">
        <v>0</v>
      </c>
      <c r="AA75" s="203">
        <v>0</v>
      </c>
      <c r="AB75" s="198">
        <v>0</v>
      </c>
      <c r="AC75" s="175"/>
      <c r="AD75" s="186" t="s">
        <v>365</v>
      </c>
      <c r="AE75" s="240">
        <v>0.43611111111111112</v>
      </c>
      <c r="AF75" s="189" t="s">
        <v>98</v>
      </c>
      <c r="AG75" s="174" t="s">
        <v>99</v>
      </c>
      <c r="AH75" s="188"/>
      <c r="AI75" s="137"/>
    </row>
    <row r="76" spans="1:35" s="284" customFormat="1" ht="18" customHeight="1" x14ac:dyDescent="0.25">
      <c r="A76" s="243">
        <v>46036</v>
      </c>
      <c r="B76" s="279" t="s">
        <v>366</v>
      </c>
      <c r="C76" s="280"/>
      <c r="D76" s="280"/>
      <c r="E76" s="280"/>
      <c r="F76" s="280">
        <v>2</v>
      </c>
      <c r="G76" s="280"/>
      <c r="H76" s="280"/>
      <c r="I76" s="280"/>
      <c r="J76" s="280"/>
      <c r="K76" s="281" t="s">
        <v>367</v>
      </c>
      <c r="L76" s="247" t="s">
        <v>368</v>
      </c>
      <c r="M76" s="248" t="s">
        <v>369</v>
      </c>
      <c r="N76" s="282">
        <v>2</v>
      </c>
      <c r="O76" s="283">
        <v>0</v>
      </c>
      <c r="P76" s="251">
        <v>2</v>
      </c>
      <c r="Q76" s="251">
        <v>0</v>
      </c>
      <c r="R76" s="252">
        <v>2</v>
      </c>
      <c r="S76" s="252">
        <v>0</v>
      </c>
      <c r="T76" s="252">
        <v>0</v>
      </c>
      <c r="U76" s="253">
        <v>0</v>
      </c>
      <c r="V76" s="252">
        <v>0</v>
      </c>
      <c r="W76" s="252">
        <v>0</v>
      </c>
      <c r="X76" s="252">
        <v>0</v>
      </c>
      <c r="Y76" s="254">
        <v>0</v>
      </c>
      <c r="Z76" s="255">
        <v>2</v>
      </c>
      <c r="AA76" s="256">
        <v>0</v>
      </c>
      <c r="AB76" s="251">
        <v>0</v>
      </c>
      <c r="AC76" s="246"/>
      <c r="AD76" s="257" t="s">
        <v>370</v>
      </c>
      <c r="AE76" s="258">
        <v>0.47569444444444442</v>
      </c>
      <c r="AF76" s="259" t="s">
        <v>98</v>
      </c>
      <c r="AG76" s="260" t="s">
        <v>99</v>
      </c>
      <c r="AH76" s="261" t="s">
        <v>371</v>
      </c>
      <c r="AI76" s="262" t="s">
        <v>86</v>
      </c>
    </row>
    <row r="77" spans="1:35" s="138" customFormat="1" ht="18" customHeight="1" x14ac:dyDescent="0.25">
      <c r="A77" s="176">
        <v>46036</v>
      </c>
      <c r="B77" s="184" t="s">
        <v>373</v>
      </c>
      <c r="C77" s="168"/>
      <c r="D77" s="168"/>
      <c r="E77" s="168"/>
      <c r="F77" s="168">
        <v>2</v>
      </c>
      <c r="G77" s="168"/>
      <c r="H77" s="168"/>
      <c r="I77" s="168"/>
      <c r="J77" s="168"/>
      <c r="K77" s="164" t="s">
        <v>374</v>
      </c>
      <c r="L77" s="184" t="s">
        <v>375</v>
      </c>
      <c r="M77" s="187" t="s">
        <v>376</v>
      </c>
      <c r="N77" s="221">
        <v>2</v>
      </c>
      <c r="O77" s="222">
        <v>2</v>
      </c>
      <c r="P77" s="198">
        <v>0</v>
      </c>
      <c r="Q77" s="198">
        <v>0</v>
      </c>
      <c r="R77" s="199">
        <v>0</v>
      </c>
      <c r="S77" s="199">
        <v>0</v>
      </c>
      <c r="T77" s="199">
        <v>0</v>
      </c>
      <c r="U77" s="200">
        <v>0</v>
      </c>
      <c r="V77" s="199">
        <v>0</v>
      </c>
      <c r="W77" s="199">
        <v>0</v>
      </c>
      <c r="X77" s="199">
        <v>0</v>
      </c>
      <c r="Y77" s="201">
        <v>0</v>
      </c>
      <c r="Z77" s="202">
        <v>0</v>
      </c>
      <c r="AA77" s="203">
        <v>0</v>
      </c>
      <c r="AB77" s="198">
        <v>0</v>
      </c>
      <c r="AC77" s="175"/>
      <c r="AD77" s="186"/>
      <c r="AE77" s="240">
        <v>0.57986111111111105</v>
      </c>
      <c r="AF77" s="189" t="s">
        <v>98</v>
      </c>
      <c r="AG77" s="174" t="s">
        <v>99</v>
      </c>
      <c r="AH77" s="188"/>
      <c r="AI77" s="137"/>
    </row>
    <row r="78" spans="1:35" s="137" customFormat="1" ht="18" customHeight="1" x14ac:dyDescent="0.25">
      <c r="A78" s="176">
        <v>46036</v>
      </c>
      <c r="B78" s="184" t="s">
        <v>378</v>
      </c>
      <c r="C78" s="168"/>
      <c r="D78" s="168"/>
      <c r="E78" s="168"/>
      <c r="F78" s="168"/>
      <c r="G78" s="168"/>
      <c r="H78" s="168"/>
      <c r="I78" s="168">
        <v>1</v>
      </c>
      <c r="J78" s="168"/>
      <c r="K78" s="164" t="s">
        <v>377</v>
      </c>
      <c r="L78" s="184" t="s">
        <v>379</v>
      </c>
      <c r="M78" s="187" t="s">
        <v>380</v>
      </c>
      <c r="N78" s="221">
        <v>1</v>
      </c>
      <c r="O78" s="222">
        <v>1</v>
      </c>
      <c r="P78" s="198">
        <v>0</v>
      </c>
      <c r="Q78" s="198">
        <v>0</v>
      </c>
      <c r="R78" s="199">
        <v>0</v>
      </c>
      <c r="S78" s="199">
        <v>0</v>
      </c>
      <c r="T78" s="199">
        <v>0</v>
      </c>
      <c r="U78" s="200">
        <v>0</v>
      </c>
      <c r="V78" s="199">
        <v>0</v>
      </c>
      <c r="W78" s="199">
        <v>0</v>
      </c>
      <c r="X78" s="199">
        <v>0</v>
      </c>
      <c r="Y78" s="201">
        <v>0</v>
      </c>
      <c r="Z78" s="202">
        <v>0</v>
      </c>
      <c r="AA78" s="203">
        <v>0</v>
      </c>
      <c r="AB78" s="198">
        <v>0</v>
      </c>
      <c r="AC78" s="175"/>
      <c r="AD78" s="176"/>
      <c r="AE78" s="176"/>
      <c r="AF78" s="189" t="s">
        <v>117</v>
      </c>
      <c r="AG78" s="174" t="s">
        <v>99</v>
      </c>
      <c r="AH78" s="188" t="s">
        <v>381</v>
      </c>
    </row>
    <row r="79" spans="1:35" s="137" customFormat="1" ht="18" customHeight="1" x14ac:dyDescent="0.25">
      <c r="A79" s="176">
        <v>46036</v>
      </c>
      <c r="B79" s="184" t="s">
        <v>383</v>
      </c>
      <c r="C79" s="168"/>
      <c r="D79" s="168"/>
      <c r="E79" s="168"/>
      <c r="F79" s="168"/>
      <c r="G79" s="168"/>
      <c r="H79" s="168"/>
      <c r="I79" s="168">
        <v>1</v>
      </c>
      <c r="J79" s="168"/>
      <c r="K79" s="164" t="s">
        <v>382</v>
      </c>
      <c r="L79" s="184" t="s">
        <v>384</v>
      </c>
      <c r="M79" s="187" t="s">
        <v>385</v>
      </c>
      <c r="N79" s="221">
        <v>1</v>
      </c>
      <c r="O79" s="222">
        <v>1</v>
      </c>
      <c r="P79" s="198">
        <v>0</v>
      </c>
      <c r="Q79" s="198">
        <v>0</v>
      </c>
      <c r="R79" s="199">
        <v>0</v>
      </c>
      <c r="S79" s="199">
        <v>0</v>
      </c>
      <c r="T79" s="199">
        <v>0</v>
      </c>
      <c r="U79" s="200">
        <v>0</v>
      </c>
      <c r="V79" s="199">
        <v>0</v>
      </c>
      <c r="W79" s="199">
        <v>0</v>
      </c>
      <c r="X79" s="199">
        <v>0</v>
      </c>
      <c r="Y79" s="201">
        <v>0</v>
      </c>
      <c r="Z79" s="202">
        <v>0</v>
      </c>
      <c r="AA79" s="203">
        <v>0</v>
      </c>
      <c r="AB79" s="198">
        <v>0</v>
      </c>
      <c r="AC79" s="175"/>
      <c r="AD79" s="176"/>
      <c r="AE79" s="176"/>
      <c r="AF79" s="189" t="s">
        <v>117</v>
      </c>
      <c r="AG79" s="174" t="s">
        <v>99</v>
      </c>
      <c r="AH79" s="188" t="s">
        <v>381</v>
      </c>
    </row>
    <row r="80" spans="1:35" s="137" customFormat="1" ht="18" customHeight="1" x14ac:dyDescent="0.25">
      <c r="A80" s="176">
        <v>46036</v>
      </c>
      <c r="B80" s="184" t="s">
        <v>386</v>
      </c>
      <c r="C80" s="168">
        <v>1</v>
      </c>
      <c r="D80" s="168"/>
      <c r="E80" s="168"/>
      <c r="F80" s="168"/>
      <c r="G80" s="168"/>
      <c r="H80" s="230"/>
      <c r="I80" s="230"/>
      <c r="J80" s="230"/>
      <c r="K80" s="231" t="s">
        <v>387</v>
      </c>
      <c r="L80" s="184" t="s">
        <v>388</v>
      </c>
      <c r="M80" s="232" t="s">
        <v>389</v>
      </c>
      <c r="N80" s="221">
        <v>1</v>
      </c>
      <c r="O80" s="222">
        <v>1</v>
      </c>
      <c r="P80" s="198">
        <v>0</v>
      </c>
      <c r="Q80" s="198">
        <v>0</v>
      </c>
      <c r="R80" s="199">
        <v>0</v>
      </c>
      <c r="S80" s="199">
        <v>0</v>
      </c>
      <c r="T80" s="199">
        <v>0</v>
      </c>
      <c r="U80" s="200">
        <v>0</v>
      </c>
      <c r="V80" s="199">
        <v>0</v>
      </c>
      <c r="W80" s="199">
        <v>0</v>
      </c>
      <c r="X80" s="199">
        <v>0</v>
      </c>
      <c r="Y80" s="201">
        <v>0</v>
      </c>
      <c r="Z80" s="202">
        <v>0</v>
      </c>
      <c r="AA80" s="203">
        <v>0</v>
      </c>
      <c r="AB80" s="198">
        <v>0</v>
      </c>
      <c r="AC80" s="175"/>
      <c r="AD80" s="241">
        <v>0.47361111111111115</v>
      </c>
      <c r="AE80" s="241">
        <v>0.68611111111111101</v>
      </c>
      <c r="AF80" s="189" t="s">
        <v>98</v>
      </c>
      <c r="AG80" s="174" t="s">
        <v>99</v>
      </c>
      <c r="AH80" s="188"/>
    </row>
    <row r="81" spans="1:35" s="138" customFormat="1" ht="18" customHeight="1" x14ac:dyDescent="0.25">
      <c r="A81" s="176">
        <v>46036</v>
      </c>
      <c r="B81" s="184" t="s">
        <v>390</v>
      </c>
      <c r="C81" s="168"/>
      <c r="D81" s="168"/>
      <c r="E81" s="168"/>
      <c r="F81" s="168"/>
      <c r="G81" s="168"/>
      <c r="H81" s="168"/>
      <c r="I81" s="168">
        <v>8</v>
      </c>
      <c r="J81" s="168"/>
      <c r="K81" s="225" t="s">
        <v>391</v>
      </c>
      <c r="L81" s="184" t="s">
        <v>392</v>
      </c>
      <c r="M81" s="187" t="s">
        <v>393</v>
      </c>
      <c r="N81" s="221">
        <v>8</v>
      </c>
      <c r="O81" s="222">
        <v>8</v>
      </c>
      <c r="P81" s="198">
        <v>0</v>
      </c>
      <c r="Q81" s="198">
        <v>0</v>
      </c>
      <c r="R81" s="199">
        <v>0</v>
      </c>
      <c r="S81" s="199">
        <v>0</v>
      </c>
      <c r="T81" s="199">
        <v>0</v>
      </c>
      <c r="U81" s="200">
        <v>0</v>
      </c>
      <c r="V81" s="199">
        <v>0</v>
      </c>
      <c r="W81" s="199">
        <v>0</v>
      </c>
      <c r="X81" s="199">
        <v>0</v>
      </c>
      <c r="Y81" s="201">
        <v>0</v>
      </c>
      <c r="Z81" s="202">
        <v>0</v>
      </c>
      <c r="AA81" s="203">
        <v>0</v>
      </c>
      <c r="AB81" s="198">
        <v>0</v>
      </c>
      <c r="AC81" s="175"/>
      <c r="AD81" s="176"/>
      <c r="AE81" s="241">
        <v>0.69444444444444453</v>
      </c>
      <c r="AF81" s="189" t="s">
        <v>98</v>
      </c>
      <c r="AG81" s="174" t="s">
        <v>99</v>
      </c>
      <c r="AH81" s="188"/>
      <c r="AI81" s="137"/>
    </row>
    <row r="82" spans="1:35" s="138" customFormat="1" ht="18" customHeight="1" x14ac:dyDescent="0.25">
      <c r="A82" s="176">
        <v>46036</v>
      </c>
      <c r="B82" s="184" t="s">
        <v>394</v>
      </c>
      <c r="C82" s="168"/>
      <c r="D82" s="168"/>
      <c r="E82" s="168"/>
      <c r="F82" s="168">
        <v>1</v>
      </c>
      <c r="G82" s="168"/>
      <c r="H82" s="168"/>
      <c r="I82" s="168"/>
      <c r="J82" s="168"/>
      <c r="K82" s="225" t="s">
        <v>296</v>
      </c>
      <c r="L82" s="184" t="s">
        <v>395</v>
      </c>
      <c r="M82" s="187" t="s">
        <v>396</v>
      </c>
      <c r="N82" s="169">
        <v>1</v>
      </c>
      <c r="O82" s="170">
        <v>1</v>
      </c>
      <c r="P82" s="198">
        <v>0</v>
      </c>
      <c r="Q82" s="198">
        <v>0</v>
      </c>
      <c r="R82" s="199">
        <v>0</v>
      </c>
      <c r="S82" s="199">
        <v>0</v>
      </c>
      <c r="T82" s="199">
        <v>0</v>
      </c>
      <c r="U82" s="200">
        <v>0</v>
      </c>
      <c r="V82" s="199">
        <v>0</v>
      </c>
      <c r="W82" s="199">
        <v>0</v>
      </c>
      <c r="X82" s="199">
        <v>0</v>
      </c>
      <c r="Y82" s="201">
        <v>0</v>
      </c>
      <c r="Z82" s="202">
        <v>0</v>
      </c>
      <c r="AA82" s="203">
        <v>0</v>
      </c>
      <c r="AB82" s="198">
        <v>0</v>
      </c>
      <c r="AC82" s="175"/>
      <c r="AD82" s="176"/>
      <c r="AE82" s="241">
        <v>0.69791666666666663</v>
      </c>
      <c r="AF82" s="190" t="s">
        <v>117</v>
      </c>
      <c r="AG82" s="174" t="s">
        <v>99</v>
      </c>
      <c r="AH82" s="191" t="s">
        <v>397</v>
      </c>
      <c r="AI82" s="142"/>
    </row>
    <row r="83" spans="1:35" s="138" customFormat="1" ht="18" customHeight="1" x14ac:dyDescent="0.25">
      <c r="A83" s="176">
        <v>46036</v>
      </c>
      <c r="B83" s="184" t="s">
        <v>398</v>
      </c>
      <c r="C83" s="168"/>
      <c r="D83" s="168"/>
      <c r="E83" s="168"/>
      <c r="F83" s="168">
        <v>1</v>
      </c>
      <c r="G83" s="168"/>
      <c r="H83" s="168"/>
      <c r="I83" s="168"/>
      <c r="J83" s="168"/>
      <c r="K83" s="225" t="s">
        <v>400</v>
      </c>
      <c r="L83" s="184" t="s">
        <v>401</v>
      </c>
      <c r="M83" s="187" t="s">
        <v>403</v>
      </c>
      <c r="N83" s="169">
        <v>1</v>
      </c>
      <c r="O83" s="170">
        <v>1</v>
      </c>
      <c r="P83" s="198">
        <v>0</v>
      </c>
      <c r="Q83" s="198">
        <v>0</v>
      </c>
      <c r="R83" s="199">
        <v>0</v>
      </c>
      <c r="S83" s="199">
        <v>0</v>
      </c>
      <c r="T83" s="199">
        <v>0</v>
      </c>
      <c r="U83" s="200">
        <v>0</v>
      </c>
      <c r="V83" s="199">
        <v>0</v>
      </c>
      <c r="W83" s="199">
        <v>0</v>
      </c>
      <c r="X83" s="199">
        <v>0</v>
      </c>
      <c r="Y83" s="201">
        <v>0</v>
      </c>
      <c r="Z83" s="202">
        <v>0</v>
      </c>
      <c r="AA83" s="203">
        <v>0</v>
      </c>
      <c r="AB83" s="198">
        <v>0</v>
      </c>
      <c r="AC83" s="175"/>
      <c r="AD83" s="176"/>
      <c r="AE83" s="241">
        <v>0.70833333333333337</v>
      </c>
      <c r="AF83" s="190" t="s">
        <v>117</v>
      </c>
      <c r="AG83" s="174" t="s">
        <v>99</v>
      </c>
      <c r="AH83" s="191"/>
      <c r="AI83" s="142"/>
    </row>
    <row r="84" spans="1:35" s="138" customFormat="1" ht="18" customHeight="1" x14ac:dyDescent="0.25">
      <c r="A84" s="176">
        <v>46036</v>
      </c>
      <c r="B84" s="184" t="s">
        <v>398</v>
      </c>
      <c r="C84" s="168"/>
      <c r="D84" s="168"/>
      <c r="E84" s="168"/>
      <c r="F84" s="168">
        <v>1</v>
      </c>
      <c r="G84" s="168"/>
      <c r="H84" s="168"/>
      <c r="I84" s="168"/>
      <c r="J84" s="168"/>
      <c r="K84" s="225" t="s">
        <v>400</v>
      </c>
      <c r="L84" s="184" t="s">
        <v>401</v>
      </c>
      <c r="M84" s="187" t="s">
        <v>404</v>
      </c>
      <c r="N84" s="169">
        <v>1</v>
      </c>
      <c r="O84" s="170">
        <v>1</v>
      </c>
      <c r="P84" s="198">
        <v>0</v>
      </c>
      <c r="Q84" s="198">
        <v>0</v>
      </c>
      <c r="R84" s="199">
        <v>0</v>
      </c>
      <c r="S84" s="199">
        <v>0</v>
      </c>
      <c r="T84" s="199">
        <v>0</v>
      </c>
      <c r="U84" s="200">
        <v>0</v>
      </c>
      <c r="V84" s="199">
        <v>0</v>
      </c>
      <c r="W84" s="199">
        <v>0</v>
      </c>
      <c r="X84" s="199">
        <v>0</v>
      </c>
      <c r="Y84" s="201">
        <v>0</v>
      </c>
      <c r="Z84" s="202">
        <v>0</v>
      </c>
      <c r="AA84" s="203">
        <v>0</v>
      </c>
      <c r="AB84" s="198">
        <v>0</v>
      </c>
      <c r="AC84" s="175"/>
      <c r="AD84" s="176"/>
      <c r="AE84" s="241">
        <v>0.70833333333333337</v>
      </c>
      <c r="AF84" s="190" t="s">
        <v>117</v>
      </c>
      <c r="AG84" s="174" t="s">
        <v>99</v>
      </c>
      <c r="AH84" s="188"/>
    </row>
    <row r="85" spans="1:35" s="138" customFormat="1" ht="18" customHeight="1" x14ac:dyDescent="0.25">
      <c r="A85" s="176">
        <v>46036</v>
      </c>
      <c r="B85" s="184" t="s">
        <v>399</v>
      </c>
      <c r="C85" s="168"/>
      <c r="D85" s="168"/>
      <c r="E85" s="168"/>
      <c r="F85" s="168">
        <v>1</v>
      </c>
      <c r="G85" s="168"/>
      <c r="H85" s="168"/>
      <c r="I85" s="168"/>
      <c r="J85" s="168"/>
      <c r="K85" s="225" t="s">
        <v>400</v>
      </c>
      <c r="L85" s="184" t="s">
        <v>402</v>
      </c>
      <c r="M85" s="187" t="s">
        <v>405</v>
      </c>
      <c r="N85" s="169">
        <v>1</v>
      </c>
      <c r="O85" s="170">
        <v>1</v>
      </c>
      <c r="P85" s="198">
        <v>0</v>
      </c>
      <c r="Q85" s="198">
        <v>0</v>
      </c>
      <c r="R85" s="199">
        <v>0</v>
      </c>
      <c r="S85" s="199">
        <v>0</v>
      </c>
      <c r="T85" s="199">
        <v>0</v>
      </c>
      <c r="U85" s="200">
        <v>0</v>
      </c>
      <c r="V85" s="199">
        <v>0</v>
      </c>
      <c r="W85" s="199">
        <v>0</v>
      </c>
      <c r="X85" s="199">
        <v>0</v>
      </c>
      <c r="Y85" s="201">
        <v>0</v>
      </c>
      <c r="Z85" s="202">
        <v>0</v>
      </c>
      <c r="AA85" s="203">
        <v>0</v>
      </c>
      <c r="AB85" s="198">
        <v>0</v>
      </c>
      <c r="AC85" s="175"/>
      <c r="AD85" s="176"/>
      <c r="AE85" s="241">
        <v>0.70833333333333337</v>
      </c>
      <c r="AF85" s="190" t="s">
        <v>117</v>
      </c>
      <c r="AG85" s="174" t="s">
        <v>99</v>
      </c>
      <c r="AH85" s="188"/>
    </row>
    <row r="86" spans="1:35" s="138" customFormat="1" ht="18" customHeight="1" x14ac:dyDescent="0.25">
      <c r="A86" s="176">
        <v>46036</v>
      </c>
      <c r="B86" s="184" t="s">
        <v>399</v>
      </c>
      <c r="C86" s="168"/>
      <c r="D86" s="168"/>
      <c r="E86" s="168"/>
      <c r="F86" s="168">
        <v>1</v>
      </c>
      <c r="G86" s="168"/>
      <c r="H86" s="168"/>
      <c r="I86" s="168"/>
      <c r="J86" s="168"/>
      <c r="K86" s="225" t="s">
        <v>400</v>
      </c>
      <c r="L86" s="184" t="s">
        <v>402</v>
      </c>
      <c r="M86" s="187" t="s">
        <v>406</v>
      </c>
      <c r="N86" s="169">
        <v>1</v>
      </c>
      <c r="O86" s="170">
        <v>1</v>
      </c>
      <c r="P86" s="198">
        <v>0</v>
      </c>
      <c r="Q86" s="198">
        <v>0</v>
      </c>
      <c r="R86" s="199">
        <v>0</v>
      </c>
      <c r="S86" s="199">
        <v>0</v>
      </c>
      <c r="T86" s="199">
        <v>0</v>
      </c>
      <c r="U86" s="200">
        <v>0</v>
      </c>
      <c r="V86" s="199">
        <v>0</v>
      </c>
      <c r="W86" s="199">
        <v>0</v>
      </c>
      <c r="X86" s="199">
        <v>0</v>
      </c>
      <c r="Y86" s="201">
        <v>0</v>
      </c>
      <c r="Z86" s="202">
        <v>0</v>
      </c>
      <c r="AA86" s="203">
        <v>0</v>
      </c>
      <c r="AB86" s="198">
        <v>0</v>
      </c>
      <c r="AC86" s="175"/>
      <c r="AD86" s="176"/>
      <c r="AE86" s="241">
        <v>0.70833333333333337</v>
      </c>
      <c r="AF86" s="189" t="s">
        <v>117</v>
      </c>
      <c r="AG86" s="174" t="s">
        <v>99</v>
      </c>
      <c r="AH86" s="188"/>
    </row>
    <row r="87" spans="1:35" s="138" customFormat="1" ht="18" customHeight="1" x14ac:dyDescent="0.25">
      <c r="A87" s="176">
        <v>46037</v>
      </c>
      <c r="B87" s="184" t="s">
        <v>407</v>
      </c>
      <c r="C87" s="168">
        <v>1</v>
      </c>
      <c r="D87" s="168"/>
      <c r="E87" s="168"/>
      <c r="F87" s="168"/>
      <c r="G87" s="168"/>
      <c r="H87" s="168"/>
      <c r="I87" s="168"/>
      <c r="J87" s="168"/>
      <c r="K87" s="225" t="s">
        <v>408</v>
      </c>
      <c r="L87" s="184" t="s">
        <v>409</v>
      </c>
      <c r="M87" s="187" t="s">
        <v>410</v>
      </c>
      <c r="N87" s="169">
        <v>1</v>
      </c>
      <c r="O87" s="170">
        <v>1</v>
      </c>
      <c r="P87" s="198">
        <v>0</v>
      </c>
      <c r="Q87" s="198">
        <v>0</v>
      </c>
      <c r="R87" s="199">
        <v>0</v>
      </c>
      <c r="S87" s="199">
        <v>0</v>
      </c>
      <c r="T87" s="199">
        <v>0</v>
      </c>
      <c r="U87" s="200">
        <v>0</v>
      </c>
      <c r="V87" s="199">
        <v>0</v>
      </c>
      <c r="W87" s="199">
        <v>0</v>
      </c>
      <c r="X87" s="199">
        <v>0</v>
      </c>
      <c r="Y87" s="201">
        <v>0</v>
      </c>
      <c r="Z87" s="202">
        <v>0</v>
      </c>
      <c r="AA87" s="203">
        <v>0</v>
      </c>
      <c r="AB87" s="198">
        <v>0</v>
      </c>
      <c r="AC87" s="175"/>
      <c r="AD87" s="176" t="s">
        <v>411</v>
      </c>
      <c r="AE87" s="241">
        <v>0.35416666666666669</v>
      </c>
      <c r="AF87" s="189" t="s">
        <v>98</v>
      </c>
      <c r="AG87" s="174" t="s">
        <v>99</v>
      </c>
      <c r="AH87" s="188" t="s">
        <v>538</v>
      </c>
    </row>
    <row r="88" spans="1:35" s="138" customFormat="1" ht="18" customHeight="1" x14ac:dyDescent="0.25">
      <c r="A88" s="176">
        <v>46037</v>
      </c>
      <c r="B88" s="184" t="s">
        <v>412</v>
      </c>
      <c r="C88" s="168"/>
      <c r="D88" s="168"/>
      <c r="E88" s="168"/>
      <c r="F88" s="168">
        <v>1</v>
      </c>
      <c r="G88" s="168"/>
      <c r="H88" s="168"/>
      <c r="I88" s="168"/>
      <c r="J88" s="168"/>
      <c r="K88" s="225" t="s">
        <v>413</v>
      </c>
      <c r="L88" s="184" t="s">
        <v>414</v>
      </c>
      <c r="M88" s="187" t="s">
        <v>415</v>
      </c>
      <c r="N88" s="169">
        <v>1</v>
      </c>
      <c r="O88" s="170">
        <v>1</v>
      </c>
      <c r="P88" s="198">
        <v>0</v>
      </c>
      <c r="Q88" s="198">
        <v>0</v>
      </c>
      <c r="R88" s="199">
        <v>0</v>
      </c>
      <c r="S88" s="199">
        <v>0</v>
      </c>
      <c r="T88" s="199">
        <v>0</v>
      </c>
      <c r="U88" s="200">
        <v>0</v>
      </c>
      <c r="V88" s="199">
        <v>0</v>
      </c>
      <c r="W88" s="199">
        <v>0</v>
      </c>
      <c r="X88" s="199">
        <v>0</v>
      </c>
      <c r="Y88" s="201">
        <v>0</v>
      </c>
      <c r="Z88" s="202">
        <v>0</v>
      </c>
      <c r="AA88" s="203">
        <v>0</v>
      </c>
      <c r="AB88" s="198">
        <v>0</v>
      </c>
      <c r="AC88" s="175"/>
      <c r="AD88" s="176" t="s">
        <v>416</v>
      </c>
      <c r="AE88" s="241">
        <v>0.40972222222222227</v>
      </c>
      <c r="AF88" s="189" t="s">
        <v>98</v>
      </c>
      <c r="AG88" s="174" t="s">
        <v>99</v>
      </c>
      <c r="AH88" s="188"/>
    </row>
    <row r="89" spans="1:35" s="138" customFormat="1" ht="18" customHeight="1" x14ac:dyDescent="0.25">
      <c r="A89" s="176">
        <v>46037</v>
      </c>
      <c r="B89" s="184" t="s">
        <v>418</v>
      </c>
      <c r="C89" s="168"/>
      <c r="D89" s="168"/>
      <c r="E89" s="168"/>
      <c r="F89" s="168">
        <v>2</v>
      </c>
      <c r="G89" s="168"/>
      <c r="H89" s="168"/>
      <c r="I89" s="168"/>
      <c r="J89" s="168"/>
      <c r="K89" s="225" t="s">
        <v>200</v>
      </c>
      <c r="L89" s="184" t="s">
        <v>201</v>
      </c>
      <c r="M89" s="187">
        <v>4710901001</v>
      </c>
      <c r="N89" s="169">
        <v>2</v>
      </c>
      <c r="O89" s="170">
        <v>2</v>
      </c>
      <c r="P89" s="198">
        <v>0</v>
      </c>
      <c r="Q89" s="198">
        <v>0</v>
      </c>
      <c r="R89" s="199">
        <v>0</v>
      </c>
      <c r="S89" s="199">
        <v>0</v>
      </c>
      <c r="T89" s="199">
        <v>0</v>
      </c>
      <c r="U89" s="200">
        <v>0</v>
      </c>
      <c r="V89" s="199">
        <v>0</v>
      </c>
      <c r="W89" s="199">
        <v>0</v>
      </c>
      <c r="X89" s="199">
        <v>0</v>
      </c>
      <c r="Y89" s="201">
        <v>0</v>
      </c>
      <c r="Z89" s="202">
        <v>0</v>
      </c>
      <c r="AA89" s="203">
        <v>0</v>
      </c>
      <c r="AB89" s="198">
        <v>0</v>
      </c>
      <c r="AC89" s="175"/>
      <c r="AD89" s="176"/>
      <c r="AE89" s="241">
        <v>0.45833333333333331</v>
      </c>
      <c r="AF89" s="189" t="s">
        <v>117</v>
      </c>
      <c r="AG89" s="174" t="s">
        <v>99</v>
      </c>
      <c r="AH89" s="188" t="s">
        <v>421</v>
      </c>
    </row>
    <row r="90" spans="1:35" s="138" customFormat="1" ht="18" customHeight="1" x14ac:dyDescent="0.25">
      <c r="A90" s="176">
        <v>46037</v>
      </c>
      <c r="B90" s="184" t="s">
        <v>419</v>
      </c>
      <c r="C90" s="168"/>
      <c r="D90" s="168"/>
      <c r="E90" s="168"/>
      <c r="F90" s="168">
        <v>2</v>
      </c>
      <c r="G90" s="168"/>
      <c r="H90" s="168"/>
      <c r="I90" s="168"/>
      <c r="J90" s="168"/>
      <c r="K90" s="225" t="s">
        <v>200</v>
      </c>
      <c r="L90" s="184" t="s">
        <v>201</v>
      </c>
      <c r="M90" s="187">
        <v>4710901004</v>
      </c>
      <c r="N90" s="169">
        <v>2</v>
      </c>
      <c r="O90" s="170">
        <v>2</v>
      </c>
      <c r="P90" s="198">
        <v>0</v>
      </c>
      <c r="Q90" s="198">
        <v>0</v>
      </c>
      <c r="R90" s="199">
        <v>0</v>
      </c>
      <c r="S90" s="199">
        <v>0</v>
      </c>
      <c r="T90" s="199">
        <v>0</v>
      </c>
      <c r="U90" s="200">
        <v>0</v>
      </c>
      <c r="V90" s="199">
        <v>0</v>
      </c>
      <c r="W90" s="199">
        <v>0</v>
      </c>
      <c r="X90" s="199">
        <v>0</v>
      </c>
      <c r="Y90" s="201">
        <v>0</v>
      </c>
      <c r="Z90" s="202">
        <v>0</v>
      </c>
      <c r="AA90" s="203">
        <v>0</v>
      </c>
      <c r="AB90" s="198">
        <v>0</v>
      </c>
      <c r="AC90" s="175"/>
      <c r="AD90" s="176"/>
      <c r="AE90" s="241">
        <v>0.5</v>
      </c>
      <c r="AF90" s="189" t="s">
        <v>117</v>
      </c>
      <c r="AG90" s="174" t="s">
        <v>99</v>
      </c>
      <c r="AH90" s="188" t="s">
        <v>421</v>
      </c>
    </row>
    <row r="91" spans="1:35" s="138" customFormat="1" ht="18" customHeight="1" x14ac:dyDescent="0.25">
      <c r="A91" s="176">
        <v>46037</v>
      </c>
      <c r="B91" s="184" t="s">
        <v>419</v>
      </c>
      <c r="C91" s="168"/>
      <c r="D91" s="168"/>
      <c r="E91" s="168"/>
      <c r="F91" s="168">
        <v>2</v>
      </c>
      <c r="G91" s="168"/>
      <c r="H91" s="168"/>
      <c r="I91" s="168"/>
      <c r="J91" s="168"/>
      <c r="K91" s="225" t="s">
        <v>200</v>
      </c>
      <c r="L91" s="184" t="s">
        <v>226</v>
      </c>
      <c r="M91" s="187">
        <v>4711301001</v>
      </c>
      <c r="N91" s="169">
        <v>2</v>
      </c>
      <c r="O91" s="170">
        <v>2</v>
      </c>
      <c r="P91" s="198">
        <v>0</v>
      </c>
      <c r="Q91" s="198">
        <v>0</v>
      </c>
      <c r="R91" s="199">
        <v>0</v>
      </c>
      <c r="S91" s="199">
        <v>0</v>
      </c>
      <c r="T91" s="199">
        <v>0</v>
      </c>
      <c r="U91" s="200">
        <v>0</v>
      </c>
      <c r="V91" s="199">
        <v>0</v>
      </c>
      <c r="W91" s="199">
        <v>0</v>
      </c>
      <c r="X91" s="199">
        <v>0</v>
      </c>
      <c r="Y91" s="201">
        <v>0</v>
      </c>
      <c r="Z91" s="202">
        <v>0</v>
      </c>
      <c r="AA91" s="203">
        <v>0</v>
      </c>
      <c r="AB91" s="198">
        <v>0</v>
      </c>
      <c r="AC91" s="175"/>
      <c r="AD91" s="176"/>
      <c r="AE91" s="241">
        <v>0.54166666666666696</v>
      </c>
      <c r="AF91" s="189" t="s">
        <v>117</v>
      </c>
      <c r="AG91" s="174" t="s">
        <v>99</v>
      </c>
      <c r="AH91" s="188" t="s">
        <v>421</v>
      </c>
    </row>
    <row r="92" spans="1:35" s="138" customFormat="1" ht="18" customHeight="1" x14ac:dyDescent="0.25">
      <c r="A92" s="176">
        <v>46037</v>
      </c>
      <c r="B92" s="184" t="s">
        <v>418</v>
      </c>
      <c r="C92" s="168"/>
      <c r="D92" s="168"/>
      <c r="E92" s="168"/>
      <c r="F92" s="168">
        <v>2</v>
      </c>
      <c r="G92" s="168"/>
      <c r="H92" s="168"/>
      <c r="I92" s="168"/>
      <c r="J92" s="168"/>
      <c r="K92" s="225" t="s">
        <v>200</v>
      </c>
      <c r="L92" s="184" t="s">
        <v>226</v>
      </c>
      <c r="M92" s="187">
        <v>4711301003</v>
      </c>
      <c r="N92" s="169">
        <v>2</v>
      </c>
      <c r="O92" s="170">
        <v>2</v>
      </c>
      <c r="P92" s="198">
        <v>0</v>
      </c>
      <c r="Q92" s="198">
        <v>0</v>
      </c>
      <c r="R92" s="199">
        <v>0</v>
      </c>
      <c r="S92" s="199">
        <v>0</v>
      </c>
      <c r="T92" s="199">
        <v>0</v>
      </c>
      <c r="U92" s="200">
        <v>0</v>
      </c>
      <c r="V92" s="199">
        <v>0</v>
      </c>
      <c r="W92" s="199">
        <v>0</v>
      </c>
      <c r="X92" s="199">
        <v>0</v>
      </c>
      <c r="Y92" s="201">
        <v>0</v>
      </c>
      <c r="Z92" s="202">
        <v>0</v>
      </c>
      <c r="AA92" s="203">
        <v>0</v>
      </c>
      <c r="AB92" s="198">
        <v>0</v>
      </c>
      <c r="AC92" s="175"/>
      <c r="AD92" s="176"/>
      <c r="AE92" s="241">
        <v>0.58333333333333304</v>
      </c>
      <c r="AF92" s="189" t="s">
        <v>117</v>
      </c>
      <c r="AG92" s="174" t="s">
        <v>99</v>
      </c>
      <c r="AH92" s="188" t="s">
        <v>421</v>
      </c>
    </row>
    <row r="93" spans="1:35" s="138" customFormat="1" ht="18" customHeight="1" x14ac:dyDescent="0.25">
      <c r="A93" s="176">
        <v>46037</v>
      </c>
      <c r="B93" s="184" t="s">
        <v>420</v>
      </c>
      <c r="C93" s="168"/>
      <c r="D93" s="168"/>
      <c r="E93" s="168"/>
      <c r="F93" s="168">
        <v>2</v>
      </c>
      <c r="G93" s="168"/>
      <c r="H93" s="168"/>
      <c r="I93" s="168"/>
      <c r="J93" s="168"/>
      <c r="K93" s="225" t="s">
        <v>200</v>
      </c>
      <c r="L93" s="184" t="s">
        <v>417</v>
      </c>
      <c r="M93" s="187">
        <v>4711901001</v>
      </c>
      <c r="N93" s="169">
        <v>2</v>
      </c>
      <c r="O93" s="170">
        <v>2</v>
      </c>
      <c r="P93" s="198">
        <v>0</v>
      </c>
      <c r="Q93" s="198">
        <v>0</v>
      </c>
      <c r="R93" s="199">
        <v>0</v>
      </c>
      <c r="S93" s="199">
        <v>0</v>
      </c>
      <c r="T93" s="199">
        <v>0</v>
      </c>
      <c r="U93" s="200">
        <v>0</v>
      </c>
      <c r="V93" s="199">
        <v>0</v>
      </c>
      <c r="W93" s="199">
        <v>0</v>
      </c>
      <c r="X93" s="199">
        <v>0</v>
      </c>
      <c r="Y93" s="201">
        <v>0</v>
      </c>
      <c r="Z93" s="202">
        <v>0</v>
      </c>
      <c r="AA93" s="203">
        <v>0</v>
      </c>
      <c r="AB93" s="198">
        <v>0</v>
      </c>
      <c r="AC93" s="175"/>
      <c r="AD93" s="176"/>
      <c r="AE93" s="241">
        <v>0.625</v>
      </c>
      <c r="AF93" s="189" t="s">
        <v>117</v>
      </c>
      <c r="AG93" s="174" t="s">
        <v>99</v>
      </c>
      <c r="AH93" s="188" t="s">
        <v>421</v>
      </c>
    </row>
    <row r="94" spans="1:35" s="138" customFormat="1" ht="18" customHeight="1" x14ac:dyDescent="0.25">
      <c r="A94" s="176">
        <v>46037</v>
      </c>
      <c r="B94" s="184" t="s">
        <v>422</v>
      </c>
      <c r="C94" s="168"/>
      <c r="D94" s="168"/>
      <c r="E94" s="168"/>
      <c r="F94" s="168">
        <v>1</v>
      </c>
      <c r="G94" s="168"/>
      <c r="H94" s="168"/>
      <c r="I94" s="168"/>
      <c r="J94" s="168"/>
      <c r="K94" s="225" t="s">
        <v>423</v>
      </c>
      <c r="L94" s="184" t="s">
        <v>424</v>
      </c>
      <c r="M94" s="187" t="s">
        <v>425</v>
      </c>
      <c r="N94" s="169">
        <v>1</v>
      </c>
      <c r="O94" s="170">
        <v>1</v>
      </c>
      <c r="P94" s="198">
        <v>0</v>
      </c>
      <c r="Q94" s="198">
        <v>0</v>
      </c>
      <c r="R94" s="199">
        <v>0</v>
      </c>
      <c r="S94" s="199">
        <v>0</v>
      </c>
      <c r="T94" s="199">
        <v>0</v>
      </c>
      <c r="U94" s="200">
        <v>0</v>
      </c>
      <c r="V94" s="199">
        <v>0</v>
      </c>
      <c r="W94" s="199">
        <v>0</v>
      </c>
      <c r="X94" s="199">
        <v>0</v>
      </c>
      <c r="Y94" s="201">
        <v>0</v>
      </c>
      <c r="Z94" s="202">
        <v>0</v>
      </c>
      <c r="AA94" s="203">
        <v>0</v>
      </c>
      <c r="AB94" s="198">
        <v>0</v>
      </c>
      <c r="AC94" s="175"/>
      <c r="AD94" s="176"/>
      <c r="AE94" s="241">
        <v>0.47222222222222227</v>
      </c>
      <c r="AF94" s="189" t="s">
        <v>98</v>
      </c>
      <c r="AG94" s="174" t="s">
        <v>99</v>
      </c>
      <c r="AH94" s="188"/>
    </row>
    <row r="95" spans="1:35" s="137" customFormat="1" ht="18" customHeight="1" x14ac:dyDescent="0.25">
      <c r="A95" s="176">
        <v>46037</v>
      </c>
      <c r="B95" s="184" t="s">
        <v>426</v>
      </c>
      <c r="C95" s="168"/>
      <c r="D95" s="168"/>
      <c r="E95" s="168"/>
      <c r="F95" s="168">
        <v>1</v>
      </c>
      <c r="G95" s="168"/>
      <c r="H95" s="168"/>
      <c r="I95" s="168"/>
      <c r="J95" s="168"/>
      <c r="K95" s="225" t="s">
        <v>423</v>
      </c>
      <c r="L95" s="184" t="s">
        <v>424</v>
      </c>
      <c r="M95" s="187" t="s">
        <v>428</v>
      </c>
      <c r="N95" s="169">
        <v>1</v>
      </c>
      <c r="O95" s="170">
        <v>1</v>
      </c>
      <c r="P95" s="198">
        <v>0</v>
      </c>
      <c r="Q95" s="198">
        <v>0</v>
      </c>
      <c r="R95" s="199">
        <v>0</v>
      </c>
      <c r="S95" s="199">
        <v>0</v>
      </c>
      <c r="T95" s="199">
        <v>0</v>
      </c>
      <c r="U95" s="200">
        <v>0</v>
      </c>
      <c r="V95" s="199">
        <v>0</v>
      </c>
      <c r="W95" s="199">
        <v>0</v>
      </c>
      <c r="X95" s="199">
        <v>0</v>
      </c>
      <c r="Y95" s="201">
        <v>0</v>
      </c>
      <c r="Z95" s="202">
        <v>0</v>
      </c>
      <c r="AA95" s="203">
        <v>0</v>
      </c>
      <c r="AB95" s="198">
        <v>0</v>
      </c>
      <c r="AC95" s="175"/>
      <c r="AD95" s="176"/>
      <c r="AE95" s="241">
        <v>0.47222222222222227</v>
      </c>
      <c r="AF95" s="189" t="s">
        <v>98</v>
      </c>
      <c r="AG95" s="174" t="s">
        <v>99</v>
      </c>
      <c r="AH95" s="188"/>
      <c r="AI95" s="138"/>
    </row>
    <row r="96" spans="1:35" s="235" customFormat="1" ht="18" customHeight="1" x14ac:dyDescent="0.25">
      <c r="A96" s="176">
        <v>46037</v>
      </c>
      <c r="B96" s="184" t="s">
        <v>427</v>
      </c>
      <c r="C96" s="230"/>
      <c r="D96" s="230"/>
      <c r="E96" s="230"/>
      <c r="F96" s="230">
        <v>1</v>
      </c>
      <c r="G96" s="230"/>
      <c r="H96" s="168"/>
      <c r="I96" s="168"/>
      <c r="J96" s="168"/>
      <c r="K96" s="225" t="s">
        <v>423</v>
      </c>
      <c r="L96" s="184" t="s">
        <v>424</v>
      </c>
      <c r="M96" s="187" t="s">
        <v>429</v>
      </c>
      <c r="N96" s="169">
        <v>1</v>
      </c>
      <c r="O96" s="170">
        <v>1</v>
      </c>
      <c r="P96" s="198">
        <v>0</v>
      </c>
      <c r="Q96" s="198">
        <v>0</v>
      </c>
      <c r="R96" s="199">
        <v>0</v>
      </c>
      <c r="S96" s="199">
        <v>0</v>
      </c>
      <c r="T96" s="199">
        <v>0</v>
      </c>
      <c r="U96" s="200">
        <v>0</v>
      </c>
      <c r="V96" s="199">
        <v>0</v>
      </c>
      <c r="W96" s="199">
        <v>0</v>
      </c>
      <c r="X96" s="199">
        <v>0</v>
      </c>
      <c r="Y96" s="201">
        <v>0</v>
      </c>
      <c r="Z96" s="202">
        <v>0</v>
      </c>
      <c r="AA96" s="203">
        <v>0</v>
      </c>
      <c r="AB96" s="198">
        <v>0</v>
      </c>
      <c r="AC96" s="175"/>
      <c r="AD96" s="164"/>
      <c r="AE96" s="241">
        <v>0.47222222222222227</v>
      </c>
      <c r="AF96" s="189" t="s">
        <v>98</v>
      </c>
      <c r="AG96" s="174" t="s">
        <v>99</v>
      </c>
      <c r="AH96" s="233"/>
      <c r="AI96" s="234"/>
    </row>
    <row r="97" spans="1:35" s="138" customFormat="1" ht="18" customHeight="1" x14ac:dyDescent="0.25">
      <c r="A97" s="176">
        <v>46037</v>
      </c>
      <c r="B97" s="184" t="s">
        <v>430</v>
      </c>
      <c r="C97" s="168"/>
      <c r="D97" s="168"/>
      <c r="E97" s="168"/>
      <c r="F97" s="168"/>
      <c r="G97" s="168"/>
      <c r="H97" s="168"/>
      <c r="I97" s="168">
        <v>1</v>
      </c>
      <c r="J97" s="168"/>
      <c r="K97" s="225" t="s">
        <v>431</v>
      </c>
      <c r="L97" s="184" t="s">
        <v>432</v>
      </c>
      <c r="M97" s="187" t="s">
        <v>433</v>
      </c>
      <c r="N97" s="169">
        <v>1</v>
      </c>
      <c r="O97" s="170">
        <v>1</v>
      </c>
      <c r="P97" s="198">
        <v>0</v>
      </c>
      <c r="Q97" s="198">
        <v>0</v>
      </c>
      <c r="R97" s="199">
        <v>0</v>
      </c>
      <c r="S97" s="199">
        <v>0</v>
      </c>
      <c r="T97" s="199">
        <v>0</v>
      </c>
      <c r="U97" s="200">
        <v>0</v>
      </c>
      <c r="V97" s="199">
        <v>0</v>
      </c>
      <c r="W97" s="199">
        <v>0</v>
      </c>
      <c r="X97" s="199">
        <v>0</v>
      </c>
      <c r="Y97" s="201">
        <v>0</v>
      </c>
      <c r="Z97" s="202">
        <v>0</v>
      </c>
      <c r="AA97" s="203">
        <v>0</v>
      </c>
      <c r="AB97" s="198">
        <v>0</v>
      </c>
      <c r="AC97" s="272"/>
      <c r="AD97" s="264">
        <v>0.38958333333333334</v>
      </c>
      <c r="AE97" s="264">
        <v>0.50694444444444442</v>
      </c>
      <c r="AF97" s="189" t="s">
        <v>117</v>
      </c>
      <c r="AG97" s="174" t="s">
        <v>99</v>
      </c>
      <c r="AH97" s="237"/>
    </row>
    <row r="98" spans="1:35" s="138" customFormat="1" ht="18" customHeight="1" x14ac:dyDescent="0.25">
      <c r="A98" s="176">
        <v>46037</v>
      </c>
      <c r="B98" s="193" t="s">
        <v>412</v>
      </c>
      <c r="C98" s="168"/>
      <c r="D98" s="168"/>
      <c r="E98" s="168"/>
      <c r="F98" s="168">
        <v>1</v>
      </c>
      <c r="G98" s="168"/>
      <c r="H98" s="168"/>
      <c r="I98" s="168"/>
      <c r="J98" s="168"/>
      <c r="K98" s="225" t="s">
        <v>413</v>
      </c>
      <c r="L98" s="193" t="s">
        <v>414</v>
      </c>
      <c r="M98" s="187" t="s">
        <v>435</v>
      </c>
      <c r="N98" s="169">
        <v>1</v>
      </c>
      <c r="O98" s="170">
        <v>1</v>
      </c>
      <c r="P98" s="198">
        <v>0</v>
      </c>
      <c r="Q98" s="198">
        <v>0</v>
      </c>
      <c r="R98" s="199">
        <v>0</v>
      </c>
      <c r="S98" s="199">
        <v>0</v>
      </c>
      <c r="T98" s="199">
        <v>0</v>
      </c>
      <c r="U98" s="200">
        <v>0</v>
      </c>
      <c r="V98" s="199">
        <v>0</v>
      </c>
      <c r="W98" s="199">
        <v>0</v>
      </c>
      <c r="X98" s="199">
        <v>0</v>
      </c>
      <c r="Y98" s="201">
        <v>0</v>
      </c>
      <c r="Z98" s="202">
        <v>0</v>
      </c>
      <c r="AA98" s="203">
        <v>0</v>
      </c>
      <c r="AB98" s="198">
        <v>0</v>
      </c>
      <c r="AC98" s="272"/>
      <c r="AD98" s="236" t="s">
        <v>434</v>
      </c>
      <c r="AE98" s="264">
        <v>0.54166666666666663</v>
      </c>
      <c r="AF98" s="189" t="s">
        <v>98</v>
      </c>
      <c r="AG98" s="174" t="s">
        <v>99</v>
      </c>
      <c r="AH98" s="188"/>
      <c r="AI98" s="137"/>
    </row>
    <row r="99" spans="1:35" s="138" customFormat="1" ht="18" customHeight="1" x14ac:dyDescent="0.25">
      <c r="A99" s="176">
        <v>46037</v>
      </c>
      <c r="B99" s="193" t="s">
        <v>436</v>
      </c>
      <c r="C99" s="168"/>
      <c r="D99" s="168"/>
      <c r="E99" s="168"/>
      <c r="F99" s="168">
        <v>1</v>
      </c>
      <c r="G99" s="168"/>
      <c r="H99" s="168"/>
      <c r="I99" s="168"/>
      <c r="J99" s="168"/>
      <c r="K99" s="225" t="s">
        <v>437</v>
      </c>
      <c r="L99" s="193" t="s">
        <v>438</v>
      </c>
      <c r="M99" s="187" t="s">
        <v>439</v>
      </c>
      <c r="N99" s="169">
        <v>1</v>
      </c>
      <c r="O99" s="170">
        <v>1</v>
      </c>
      <c r="P99" s="198">
        <v>0</v>
      </c>
      <c r="Q99" s="198">
        <v>0</v>
      </c>
      <c r="R99" s="199">
        <v>0</v>
      </c>
      <c r="S99" s="199">
        <v>0</v>
      </c>
      <c r="T99" s="199">
        <v>0</v>
      </c>
      <c r="U99" s="200">
        <v>0</v>
      </c>
      <c r="V99" s="199">
        <v>0</v>
      </c>
      <c r="W99" s="199">
        <v>0</v>
      </c>
      <c r="X99" s="199">
        <v>0</v>
      </c>
      <c r="Y99" s="201">
        <v>0</v>
      </c>
      <c r="Z99" s="202">
        <v>0</v>
      </c>
      <c r="AA99" s="203">
        <v>0</v>
      </c>
      <c r="AB99" s="198">
        <v>0</v>
      </c>
      <c r="AC99" s="272"/>
      <c r="AD99" s="264">
        <v>0.3923611111111111</v>
      </c>
      <c r="AE99" s="264">
        <v>0.55555555555555558</v>
      </c>
      <c r="AF99" s="189" t="s">
        <v>98</v>
      </c>
      <c r="AG99" s="174" t="s">
        <v>99</v>
      </c>
      <c r="AH99" s="188"/>
      <c r="AI99" s="137"/>
    </row>
    <row r="100" spans="1:35" s="138" customFormat="1" ht="18" customHeight="1" x14ac:dyDescent="0.25">
      <c r="A100" s="176">
        <v>46037</v>
      </c>
      <c r="B100" s="193" t="s">
        <v>442</v>
      </c>
      <c r="C100" s="168"/>
      <c r="D100" s="168"/>
      <c r="E100" s="168"/>
      <c r="F100" s="168">
        <v>2</v>
      </c>
      <c r="G100" s="168"/>
      <c r="H100" s="168"/>
      <c r="I100" s="168"/>
      <c r="J100" s="168"/>
      <c r="K100" s="225" t="s">
        <v>437</v>
      </c>
      <c r="L100" s="193" t="s">
        <v>443</v>
      </c>
      <c r="M100" s="187" t="s">
        <v>444</v>
      </c>
      <c r="N100" s="169">
        <v>2</v>
      </c>
      <c r="O100" s="170">
        <v>2</v>
      </c>
      <c r="P100" s="198">
        <v>0</v>
      </c>
      <c r="Q100" s="198">
        <v>0</v>
      </c>
      <c r="R100" s="199">
        <v>0</v>
      </c>
      <c r="S100" s="199">
        <v>0</v>
      </c>
      <c r="T100" s="199">
        <v>0</v>
      </c>
      <c r="U100" s="200">
        <v>0</v>
      </c>
      <c r="V100" s="199">
        <v>0</v>
      </c>
      <c r="W100" s="199">
        <v>0</v>
      </c>
      <c r="X100" s="199">
        <v>0</v>
      </c>
      <c r="Y100" s="201">
        <v>0</v>
      </c>
      <c r="Z100" s="202">
        <v>0</v>
      </c>
      <c r="AA100" s="203">
        <v>0</v>
      </c>
      <c r="AB100" s="198">
        <v>0</v>
      </c>
      <c r="AC100" s="272"/>
      <c r="AD100" s="236"/>
      <c r="AE100" s="264">
        <v>0.58680555555555558</v>
      </c>
      <c r="AF100" s="189" t="s">
        <v>98</v>
      </c>
      <c r="AG100" s="174" t="s">
        <v>99</v>
      </c>
      <c r="AH100" s="188"/>
      <c r="AI100" s="137"/>
    </row>
    <row r="101" spans="1:35" s="138" customFormat="1" ht="18" customHeight="1" x14ac:dyDescent="0.25">
      <c r="A101" s="176">
        <v>46037</v>
      </c>
      <c r="B101" s="193" t="s">
        <v>445</v>
      </c>
      <c r="C101" s="168"/>
      <c r="D101" s="168"/>
      <c r="E101" s="168"/>
      <c r="F101" s="168">
        <v>1</v>
      </c>
      <c r="G101" s="168"/>
      <c r="H101" s="168"/>
      <c r="I101" s="168"/>
      <c r="J101" s="168"/>
      <c r="K101" s="225" t="s">
        <v>446</v>
      </c>
      <c r="L101" s="193" t="s">
        <v>447</v>
      </c>
      <c r="M101" s="187" t="s">
        <v>448</v>
      </c>
      <c r="N101" s="169">
        <v>1</v>
      </c>
      <c r="O101" s="170">
        <v>1</v>
      </c>
      <c r="P101" s="198">
        <v>0</v>
      </c>
      <c r="Q101" s="198">
        <v>0</v>
      </c>
      <c r="R101" s="199">
        <v>0</v>
      </c>
      <c r="S101" s="199">
        <v>0</v>
      </c>
      <c r="T101" s="199">
        <v>0</v>
      </c>
      <c r="U101" s="200">
        <v>0</v>
      </c>
      <c r="V101" s="199">
        <v>0</v>
      </c>
      <c r="W101" s="199">
        <v>0</v>
      </c>
      <c r="X101" s="199">
        <v>0</v>
      </c>
      <c r="Y101" s="201">
        <v>0</v>
      </c>
      <c r="Z101" s="202">
        <v>0</v>
      </c>
      <c r="AA101" s="203">
        <v>0</v>
      </c>
      <c r="AB101" s="198">
        <v>0</v>
      </c>
      <c r="AC101" s="272"/>
      <c r="AD101" s="264">
        <v>0.57291666666666663</v>
      </c>
      <c r="AE101" s="264">
        <v>0.63194444444444442</v>
      </c>
      <c r="AF101" s="189" t="s">
        <v>98</v>
      </c>
      <c r="AG101" s="174" t="s">
        <v>99</v>
      </c>
      <c r="AH101" s="188"/>
    </row>
    <row r="102" spans="1:35" s="138" customFormat="1" ht="15" customHeight="1" x14ac:dyDescent="0.25">
      <c r="A102" s="176">
        <v>46037</v>
      </c>
      <c r="B102" s="193" t="s">
        <v>449</v>
      </c>
      <c r="C102" s="168"/>
      <c r="D102" s="168"/>
      <c r="E102" s="168"/>
      <c r="F102" s="168">
        <v>1</v>
      </c>
      <c r="G102" s="168"/>
      <c r="H102" s="168"/>
      <c r="I102" s="168"/>
      <c r="J102" s="168"/>
      <c r="K102" s="225" t="s">
        <v>446</v>
      </c>
      <c r="L102" s="193" t="s">
        <v>447</v>
      </c>
      <c r="M102" s="187" t="s">
        <v>450</v>
      </c>
      <c r="N102" s="169">
        <v>1</v>
      </c>
      <c r="O102" s="170">
        <v>1</v>
      </c>
      <c r="P102" s="198">
        <v>0</v>
      </c>
      <c r="Q102" s="198">
        <v>0</v>
      </c>
      <c r="R102" s="199">
        <v>0</v>
      </c>
      <c r="S102" s="199">
        <v>0</v>
      </c>
      <c r="T102" s="199">
        <v>0</v>
      </c>
      <c r="U102" s="200">
        <v>0</v>
      </c>
      <c r="V102" s="199">
        <v>0</v>
      </c>
      <c r="W102" s="199">
        <v>0</v>
      </c>
      <c r="X102" s="199">
        <v>0</v>
      </c>
      <c r="Y102" s="201">
        <v>0</v>
      </c>
      <c r="Z102" s="202">
        <v>0</v>
      </c>
      <c r="AA102" s="203">
        <v>0</v>
      </c>
      <c r="AB102" s="198">
        <v>0</v>
      </c>
      <c r="AC102" s="272"/>
      <c r="AD102" s="264">
        <v>0.58333333333333337</v>
      </c>
      <c r="AE102" s="264">
        <v>0.65972222222222221</v>
      </c>
      <c r="AF102" s="189" t="s">
        <v>98</v>
      </c>
      <c r="AG102" s="174" t="s">
        <v>99</v>
      </c>
      <c r="AH102" s="188"/>
    </row>
    <row r="103" spans="1:35" s="138" customFormat="1" ht="15.75" x14ac:dyDescent="0.25">
      <c r="A103" s="176">
        <v>46037</v>
      </c>
      <c r="B103" s="193" t="s">
        <v>451</v>
      </c>
      <c r="C103" s="164"/>
      <c r="D103" s="164"/>
      <c r="E103" s="164"/>
      <c r="F103" s="164">
        <v>1</v>
      </c>
      <c r="G103" s="164"/>
      <c r="H103" s="164"/>
      <c r="I103" s="164"/>
      <c r="J103" s="164"/>
      <c r="K103" s="225" t="s">
        <v>452</v>
      </c>
      <c r="L103" s="193" t="s">
        <v>453</v>
      </c>
      <c r="M103" s="187" t="s">
        <v>454</v>
      </c>
      <c r="N103" s="169">
        <v>1</v>
      </c>
      <c r="O103" s="170">
        <v>1</v>
      </c>
      <c r="P103" s="198">
        <v>0</v>
      </c>
      <c r="Q103" s="198">
        <v>0</v>
      </c>
      <c r="R103" s="199">
        <v>0</v>
      </c>
      <c r="S103" s="199">
        <v>0</v>
      </c>
      <c r="T103" s="199">
        <v>0</v>
      </c>
      <c r="U103" s="200">
        <v>0</v>
      </c>
      <c r="V103" s="199">
        <v>0</v>
      </c>
      <c r="W103" s="199">
        <v>0</v>
      </c>
      <c r="X103" s="199">
        <v>0</v>
      </c>
      <c r="Y103" s="201">
        <v>0</v>
      </c>
      <c r="Z103" s="202">
        <v>0</v>
      </c>
      <c r="AA103" s="203">
        <v>0</v>
      </c>
      <c r="AB103" s="198">
        <v>0</v>
      </c>
      <c r="AC103" s="272"/>
      <c r="AD103" s="264">
        <v>0.63888888888888895</v>
      </c>
      <c r="AE103" s="264">
        <v>0.6791666666666667</v>
      </c>
      <c r="AF103" s="189" t="s">
        <v>98</v>
      </c>
      <c r="AG103" s="174" t="s">
        <v>99</v>
      </c>
      <c r="AH103" s="188"/>
    </row>
    <row r="104" spans="1:35" s="138" customFormat="1" ht="15.75" x14ac:dyDescent="0.25">
      <c r="A104" s="176">
        <v>46037</v>
      </c>
      <c r="B104" s="193" t="s">
        <v>455</v>
      </c>
      <c r="C104" s="164"/>
      <c r="D104" s="164"/>
      <c r="E104" s="164"/>
      <c r="F104" s="164">
        <v>1</v>
      </c>
      <c r="G104" s="164"/>
      <c r="H104" s="164"/>
      <c r="I104" s="164"/>
      <c r="J104" s="164"/>
      <c r="K104" s="225" t="s">
        <v>437</v>
      </c>
      <c r="L104" s="193" t="s">
        <v>438</v>
      </c>
      <c r="M104" s="187" t="s">
        <v>456</v>
      </c>
      <c r="N104" s="169">
        <v>1</v>
      </c>
      <c r="O104" s="170">
        <v>1</v>
      </c>
      <c r="P104" s="198">
        <v>0</v>
      </c>
      <c r="Q104" s="198">
        <v>0</v>
      </c>
      <c r="R104" s="199">
        <v>0</v>
      </c>
      <c r="S104" s="199">
        <v>0</v>
      </c>
      <c r="T104" s="199">
        <v>0</v>
      </c>
      <c r="U104" s="200">
        <v>0</v>
      </c>
      <c r="V104" s="199">
        <v>0</v>
      </c>
      <c r="W104" s="199">
        <v>0</v>
      </c>
      <c r="X104" s="199">
        <v>0</v>
      </c>
      <c r="Y104" s="201">
        <v>0</v>
      </c>
      <c r="Z104" s="202">
        <v>0</v>
      </c>
      <c r="AA104" s="203">
        <v>0</v>
      </c>
      <c r="AB104" s="198">
        <v>0</v>
      </c>
      <c r="AC104" s="272"/>
      <c r="AD104" s="236"/>
      <c r="AE104" s="264">
        <v>0.71875</v>
      </c>
      <c r="AF104" s="189" t="s">
        <v>98</v>
      </c>
      <c r="AG104" s="174" t="s">
        <v>99</v>
      </c>
      <c r="AH104" s="188"/>
    </row>
    <row r="105" spans="1:35" s="138" customFormat="1" ht="15.75" x14ac:dyDescent="0.25">
      <c r="A105" s="176">
        <v>46037</v>
      </c>
      <c r="B105" s="193" t="s">
        <v>173</v>
      </c>
      <c r="C105" s="164"/>
      <c r="D105" s="164"/>
      <c r="E105" s="164"/>
      <c r="F105" s="164"/>
      <c r="G105" s="164"/>
      <c r="H105" s="164"/>
      <c r="I105" s="164">
        <v>1</v>
      </c>
      <c r="J105" s="164"/>
      <c r="K105" s="225" t="s">
        <v>165</v>
      </c>
      <c r="L105" s="193" t="s">
        <v>166</v>
      </c>
      <c r="M105" s="187" t="s">
        <v>457</v>
      </c>
      <c r="N105" s="169">
        <v>1</v>
      </c>
      <c r="O105" s="170">
        <v>1</v>
      </c>
      <c r="P105" s="198">
        <v>0</v>
      </c>
      <c r="Q105" s="198">
        <v>0</v>
      </c>
      <c r="R105" s="199">
        <v>0</v>
      </c>
      <c r="S105" s="199">
        <v>0</v>
      </c>
      <c r="T105" s="199">
        <v>0</v>
      </c>
      <c r="U105" s="200">
        <v>0</v>
      </c>
      <c r="V105" s="199">
        <v>0</v>
      </c>
      <c r="W105" s="199">
        <v>0</v>
      </c>
      <c r="X105" s="199">
        <v>0</v>
      </c>
      <c r="Y105" s="201">
        <v>0</v>
      </c>
      <c r="Z105" s="202">
        <v>0</v>
      </c>
      <c r="AA105" s="203">
        <v>0</v>
      </c>
      <c r="AB105" s="198">
        <v>0</v>
      </c>
      <c r="AC105" s="272"/>
      <c r="AD105" s="236"/>
      <c r="AE105" s="236"/>
      <c r="AF105" s="189"/>
      <c r="AG105" s="174" t="s">
        <v>99</v>
      </c>
      <c r="AH105" s="188"/>
    </row>
    <row r="106" spans="1:35" s="138" customFormat="1" ht="15.75" x14ac:dyDescent="0.25">
      <c r="A106" s="176">
        <v>46037</v>
      </c>
      <c r="B106" s="193" t="s">
        <v>442</v>
      </c>
      <c r="C106" s="164"/>
      <c r="D106" s="164"/>
      <c r="E106" s="164"/>
      <c r="F106" s="164">
        <v>2</v>
      </c>
      <c r="G106" s="164"/>
      <c r="H106" s="164"/>
      <c r="I106" s="164"/>
      <c r="J106" s="164"/>
      <c r="K106" s="225" t="s">
        <v>437</v>
      </c>
      <c r="L106" s="193" t="s">
        <v>458</v>
      </c>
      <c r="M106" s="187" t="s">
        <v>459</v>
      </c>
      <c r="N106" s="169">
        <v>2</v>
      </c>
      <c r="O106" s="170">
        <v>2</v>
      </c>
      <c r="P106" s="198">
        <v>0</v>
      </c>
      <c r="Q106" s="198">
        <v>0</v>
      </c>
      <c r="R106" s="199">
        <v>0</v>
      </c>
      <c r="S106" s="199">
        <v>0</v>
      </c>
      <c r="T106" s="199">
        <v>0</v>
      </c>
      <c r="U106" s="200">
        <v>0</v>
      </c>
      <c r="V106" s="199">
        <v>0</v>
      </c>
      <c r="W106" s="199">
        <v>0</v>
      </c>
      <c r="X106" s="199">
        <v>0</v>
      </c>
      <c r="Y106" s="201">
        <v>0</v>
      </c>
      <c r="Z106" s="202">
        <v>0</v>
      </c>
      <c r="AA106" s="203">
        <v>0</v>
      </c>
      <c r="AB106" s="198">
        <v>0</v>
      </c>
      <c r="AC106" s="272"/>
      <c r="AD106" s="236"/>
      <c r="AE106" s="264">
        <v>0.73472222222222217</v>
      </c>
      <c r="AF106" s="189" t="s">
        <v>98</v>
      </c>
      <c r="AG106" s="174" t="s">
        <v>99</v>
      </c>
      <c r="AH106" s="188"/>
    </row>
    <row r="107" spans="1:35" s="138" customFormat="1" ht="15.75" x14ac:dyDescent="0.25">
      <c r="A107" s="176">
        <v>46037</v>
      </c>
      <c r="B107" s="193" t="s">
        <v>462</v>
      </c>
      <c r="C107" s="164"/>
      <c r="D107" s="164"/>
      <c r="E107" s="164"/>
      <c r="F107" s="164">
        <v>2</v>
      </c>
      <c r="G107" s="164"/>
      <c r="H107" s="164"/>
      <c r="I107" s="164"/>
      <c r="J107" s="164"/>
      <c r="K107" s="225" t="s">
        <v>461</v>
      </c>
      <c r="L107" s="193" t="s">
        <v>460</v>
      </c>
      <c r="M107" s="187" t="s">
        <v>465</v>
      </c>
      <c r="N107" s="169">
        <v>2</v>
      </c>
      <c r="O107" s="170">
        <v>2</v>
      </c>
      <c r="P107" s="198">
        <v>0</v>
      </c>
      <c r="Q107" s="198">
        <v>0</v>
      </c>
      <c r="R107" s="199">
        <v>0</v>
      </c>
      <c r="S107" s="199">
        <v>0</v>
      </c>
      <c r="T107" s="199">
        <v>0</v>
      </c>
      <c r="U107" s="200">
        <v>0</v>
      </c>
      <c r="V107" s="199">
        <v>0</v>
      </c>
      <c r="W107" s="199">
        <v>0</v>
      </c>
      <c r="X107" s="199">
        <v>0</v>
      </c>
      <c r="Y107" s="201">
        <v>0</v>
      </c>
      <c r="Z107" s="202">
        <v>0</v>
      </c>
      <c r="AA107" s="203">
        <v>0</v>
      </c>
      <c r="AB107" s="198">
        <v>0</v>
      </c>
      <c r="AC107" s="272"/>
      <c r="AD107" s="264">
        <v>0.35902777777777778</v>
      </c>
      <c r="AE107" s="264">
        <v>0.73263888888888884</v>
      </c>
      <c r="AF107" s="189" t="s">
        <v>117</v>
      </c>
      <c r="AG107" s="174" t="s">
        <v>99</v>
      </c>
      <c r="AH107" s="188"/>
    </row>
    <row r="108" spans="1:35" s="138" customFormat="1" ht="15.75" x14ac:dyDescent="0.25">
      <c r="A108" s="176">
        <v>46037</v>
      </c>
      <c r="B108" s="193" t="s">
        <v>463</v>
      </c>
      <c r="C108" s="164"/>
      <c r="D108" s="164"/>
      <c r="E108" s="164"/>
      <c r="F108" s="164">
        <v>2</v>
      </c>
      <c r="G108" s="164"/>
      <c r="H108" s="164"/>
      <c r="I108" s="164"/>
      <c r="J108" s="164"/>
      <c r="K108" s="225" t="s">
        <v>461</v>
      </c>
      <c r="L108" s="193" t="s">
        <v>460</v>
      </c>
      <c r="M108" s="187" t="s">
        <v>466</v>
      </c>
      <c r="N108" s="169">
        <v>2</v>
      </c>
      <c r="O108" s="170">
        <v>2</v>
      </c>
      <c r="P108" s="198">
        <v>0</v>
      </c>
      <c r="Q108" s="198">
        <v>0</v>
      </c>
      <c r="R108" s="199">
        <v>0</v>
      </c>
      <c r="S108" s="199">
        <v>0</v>
      </c>
      <c r="T108" s="199">
        <v>0</v>
      </c>
      <c r="U108" s="200">
        <v>0</v>
      </c>
      <c r="V108" s="199">
        <v>0</v>
      </c>
      <c r="W108" s="199">
        <v>0</v>
      </c>
      <c r="X108" s="199">
        <v>0</v>
      </c>
      <c r="Y108" s="201">
        <v>0</v>
      </c>
      <c r="Z108" s="202">
        <v>0</v>
      </c>
      <c r="AA108" s="203">
        <v>0</v>
      </c>
      <c r="AB108" s="198">
        <v>0</v>
      </c>
      <c r="AC108" s="272"/>
      <c r="AD108" s="264">
        <v>0.36944444444444446</v>
      </c>
      <c r="AE108" s="264">
        <v>0.73263888888888884</v>
      </c>
      <c r="AF108" s="189" t="s">
        <v>117</v>
      </c>
      <c r="AG108" s="174" t="s">
        <v>99</v>
      </c>
      <c r="AH108" s="188"/>
    </row>
    <row r="109" spans="1:35" s="138" customFormat="1" ht="15.75" x14ac:dyDescent="0.25">
      <c r="A109" s="176">
        <v>46037</v>
      </c>
      <c r="B109" s="193" t="s">
        <v>464</v>
      </c>
      <c r="C109" s="164"/>
      <c r="D109" s="164"/>
      <c r="E109" s="164"/>
      <c r="F109" s="164">
        <v>2</v>
      </c>
      <c r="G109" s="164"/>
      <c r="H109" s="164"/>
      <c r="I109" s="164"/>
      <c r="J109" s="164"/>
      <c r="K109" s="225" t="s">
        <v>461</v>
      </c>
      <c r="L109" s="193" t="s">
        <v>460</v>
      </c>
      <c r="M109" s="187" t="s">
        <v>467</v>
      </c>
      <c r="N109" s="169">
        <v>2</v>
      </c>
      <c r="O109" s="170">
        <v>2</v>
      </c>
      <c r="P109" s="198">
        <v>0</v>
      </c>
      <c r="Q109" s="198">
        <v>0</v>
      </c>
      <c r="R109" s="199">
        <v>0</v>
      </c>
      <c r="S109" s="199">
        <v>0</v>
      </c>
      <c r="T109" s="199">
        <v>0</v>
      </c>
      <c r="U109" s="200">
        <v>0</v>
      </c>
      <c r="V109" s="199">
        <v>0</v>
      </c>
      <c r="W109" s="199">
        <v>0</v>
      </c>
      <c r="X109" s="199">
        <v>0</v>
      </c>
      <c r="Y109" s="201">
        <v>0</v>
      </c>
      <c r="Z109" s="202">
        <v>0</v>
      </c>
      <c r="AA109" s="203">
        <v>0</v>
      </c>
      <c r="AB109" s="198">
        <v>0</v>
      </c>
      <c r="AC109" s="175"/>
      <c r="AD109" s="241">
        <v>0.3840277777777778</v>
      </c>
      <c r="AE109" s="264">
        <v>0.73263888888888884</v>
      </c>
      <c r="AF109" s="189" t="s">
        <v>117</v>
      </c>
      <c r="AG109" s="174" t="s">
        <v>99</v>
      </c>
      <c r="AH109" s="188"/>
    </row>
    <row r="110" spans="1:35" s="138" customFormat="1" ht="15.75" x14ac:dyDescent="0.25">
      <c r="A110" s="176">
        <v>46038</v>
      </c>
      <c r="B110" s="193" t="s">
        <v>442</v>
      </c>
      <c r="C110" s="164"/>
      <c r="D110" s="164"/>
      <c r="E110" s="164"/>
      <c r="F110" s="164">
        <v>2</v>
      </c>
      <c r="G110" s="164"/>
      <c r="H110" s="164"/>
      <c r="I110" s="164"/>
      <c r="J110" s="164"/>
      <c r="K110" s="225" t="s">
        <v>437</v>
      </c>
      <c r="L110" s="193" t="s">
        <v>468</v>
      </c>
      <c r="M110" s="187" t="s">
        <v>469</v>
      </c>
      <c r="N110" s="169">
        <v>2</v>
      </c>
      <c r="O110" s="170">
        <v>2</v>
      </c>
      <c r="P110" s="198">
        <v>0</v>
      </c>
      <c r="Q110" s="198">
        <v>0</v>
      </c>
      <c r="R110" s="199">
        <v>0</v>
      </c>
      <c r="S110" s="199">
        <v>0</v>
      </c>
      <c r="T110" s="199">
        <v>0</v>
      </c>
      <c r="U110" s="200">
        <v>0</v>
      </c>
      <c r="V110" s="199">
        <v>0</v>
      </c>
      <c r="W110" s="199">
        <v>0</v>
      </c>
      <c r="X110" s="199">
        <v>0</v>
      </c>
      <c r="Y110" s="201">
        <v>0</v>
      </c>
      <c r="Z110" s="202">
        <v>0</v>
      </c>
      <c r="AA110" s="203">
        <v>0</v>
      </c>
      <c r="AB110" s="198">
        <v>0</v>
      </c>
      <c r="AC110" s="175"/>
      <c r="AD110" s="176" t="s">
        <v>470</v>
      </c>
      <c r="AE110" s="241">
        <v>0.36249999999999999</v>
      </c>
      <c r="AF110" s="189" t="s">
        <v>98</v>
      </c>
      <c r="AG110" s="174" t="s">
        <v>99</v>
      </c>
      <c r="AH110" s="188"/>
    </row>
    <row r="111" spans="1:35" s="138" customFormat="1" ht="15.75" x14ac:dyDescent="0.25">
      <c r="A111" s="176">
        <v>46038</v>
      </c>
      <c r="B111" s="193" t="s">
        <v>471</v>
      </c>
      <c r="C111" s="164"/>
      <c r="D111" s="164"/>
      <c r="E111" s="164"/>
      <c r="F111" s="164">
        <v>1</v>
      </c>
      <c r="G111" s="164"/>
      <c r="H111" s="164"/>
      <c r="I111" s="164"/>
      <c r="J111" s="164"/>
      <c r="K111" s="225" t="s">
        <v>437</v>
      </c>
      <c r="L111" s="193" t="s">
        <v>472</v>
      </c>
      <c r="M111" s="187" t="s">
        <v>473</v>
      </c>
      <c r="N111" s="169">
        <v>1</v>
      </c>
      <c r="O111" s="170">
        <v>1</v>
      </c>
      <c r="P111" s="198">
        <v>0</v>
      </c>
      <c r="Q111" s="198">
        <v>0</v>
      </c>
      <c r="R111" s="199">
        <v>0</v>
      </c>
      <c r="S111" s="199">
        <v>0</v>
      </c>
      <c r="T111" s="199">
        <v>0</v>
      </c>
      <c r="U111" s="200">
        <v>0</v>
      </c>
      <c r="V111" s="199">
        <v>0</v>
      </c>
      <c r="W111" s="199">
        <v>0</v>
      </c>
      <c r="X111" s="199">
        <v>0</v>
      </c>
      <c r="Y111" s="201">
        <v>0</v>
      </c>
      <c r="Z111" s="202">
        <v>0</v>
      </c>
      <c r="AA111" s="203">
        <v>0</v>
      </c>
      <c r="AB111" s="198">
        <v>0</v>
      </c>
      <c r="AC111" s="175"/>
      <c r="AD111" s="176" t="s">
        <v>474</v>
      </c>
      <c r="AE111" s="241">
        <v>0.40625</v>
      </c>
      <c r="AF111" s="189" t="s">
        <v>98</v>
      </c>
      <c r="AG111" s="174" t="s">
        <v>99</v>
      </c>
      <c r="AH111" s="188"/>
    </row>
    <row r="112" spans="1:35" s="284" customFormat="1" ht="15.75" x14ac:dyDescent="0.25">
      <c r="A112" s="243">
        <v>46038</v>
      </c>
      <c r="B112" s="290" t="s">
        <v>475</v>
      </c>
      <c r="C112" s="281">
        <v>2</v>
      </c>
      <c r="D112" s="281"/>
      <c r="E112" s="281"/>
      <c r="F112" s="281"/>
      <c r="G112" s="281"/>
      <c r="H112" s="281"/>
      <c r="I112" s="281"/>
      <c r="J112" s="281"/>
      <c r="K112" s="291" t="s">
        <v>476</v>
      </c>
      <c r="L112" s="290" t="s">
        <v>477</v>
      </c>
      <c r="M112" s="248" t="s">
        <v>478</v>
      </c>
      <c r="N112" s="285">
        <v>2</v>
      </c>
      <c r="O112" s="286">
        <v>1</v>
      </c>
      <c r="P112" s="251">
        <v>1</v>
      </c>
      <c r="Q112" s="251">
        <v>0</v>
      </c>
      <c r="R112" s="252">
        <v>1</v>
      </c>
      <c r="S112" s="252">
        <v>0</v>
      </c>
      <c r="T112" s="252">
        <v>0</v>
      </c>
      <c r="U112" s="253">
        <v>0</v>
      </c>
      <c r="V112" s="252">
        <v>0</v>
      </c>
      <c r="W112" s="252">
        <v>0</v>
      </c>
      <c r="X112" s="252">
        <v>0</v>
      </c>
      <c r="Y112" s="254">
        <v>0</v>
      </c>
      <c r="Z112" s="255">
        <v>0</v>
      </c>
      <c r="AA112" s="256">
        <v>0</v>
      </c>
      <c r="AB112" s="251">
        <v>1</v>
      </c>
      <c r="AC112" s="246"/>
      <c r="AD112" s="287">
        <v>0.5</v>
      </c>
      <c r="AE112" s="287">
        <v>0.55902777777777779</v>
      </c>
      <c r="AF112" s="259" t="s">
        <v>98</v>
      </c>
      <c r="AG112" s="260" t="s">
        <v>99</v>
      </c>
      <c r="AH112" s="261" t="s">
        <v>821</v>
      </c>
    </row>
    <row r="113" spans="1:35" s="138" customFormat="1" ht="15.75" x14ac:dyDescent="0.25">
      <c r="A113" s="176">
        <v>46038</v>
      </c>
      <c r="B113" s="193" t="s">
        <v>479</v>
      </c>
      <c r="C113" s="164">
        <v>1</v>
      </c>
      <c r="D113" s="164"/>
      <c r="E113" s="164"/>
      <c r="F113" s="164"/>
      <c r="G113" s="164"/>
      <c r="H113" s="164"/>
      <c r="I113" s="164"/>
      <c r="J113" s="164"/>
      <c r="K113" s="225" t="s">
        <v>476</v>
      </c>
      <c r="L113" s="193" t="s">
        <v>477</v>
      </c>
      <c r="M113" s="210" t="s">
        <v>480</v>
      </c>
      <c r="N113" s="169">
        <v>1</v>
      </c>
      <c r="O113" s="170">
        <v>1</v>
      </c>
      <c r="P113" s="198">
        <v>0</v>
      </c>
      <c r="Q113" s="198">
        <v>0</v>
      </c>
      <c r="R113" s="199">
        <v>0</v>
      </c>
      <c r="S113" s="199">
        <v>0</v>
      </c>
      <c r="T113" s="199">
        <v>0</v>
      </c>
      <c r="U113" s="200">
        <v>0</v>
      </c>
      <c r="V113" s="199">
        <v>0</v>
      </c>
      <c r="W113" s="199">
        <v>0</v>
      </c>
      <c r="X113" s="199">
        <v>0</v>
      </c>
      <c r="Y113" s="201">
        <v>0</v>
      </c>
      <c r="Z113" s="202">
        <v>0</v>
      </c>
      <c r="AA113" s="203">
        <v>0</v>
      </c>
      <c r="AB113" s="198">
        <v>0</v>
      </c>
      <c r="AC113" s="175"/>
      <c r="AD113" s="241">
        <v>0.5</v>
      </c>
      <c r="AE113" s="241">
        <v>0.59375</v>
      </c>
      <c r="AF113" s="189" t="s">
        <v>98</v>
      </c>
      <c r="AG113" s="174" t="s">
        <v>99</v>
      </c>
      <c r="AH113" s="188"/>
    </row>
    <row r="114" spans="1:35" s="138" customFormat="1" ht="15.75" x14ac:dyDescent="0.25">
      <c r="A114" s="176">
        <v>46038</v>
      </c>
      <c r="B114" s="193" t="s">
        <v>442</v>
      </c>
      <c r="C114" s="164"/>
      <c r="D114" s="164"/>
      <c r="E114" s="164"/>
      <c r="F114" s="164">
        <v>2</v>
      </c>
      <c r="G114" s="164"/>
      <c r="H114" s="164"/>
      <c r="I114" s="164"/>
      <c r="J114" s="164"/>
      <c r="K114" s="225" t="s">
        <v>437</v>
      </c>
      <c r="L114" s="193" t="s">
        <v>472</v>
      </c>
      <c r="M114" s="210" t="s">
        <v>482</v>
      </c>
      <c r="N114" s="169">
        <v>2</v>
      </c>
      <c r="O114" s="170">
        <v>2</v>
      </c>
      <c r="P114" s="198">
        <v>0</v>
      </c>
      <c r="Q114" s="198">
        <v>0</v>
      </c>
      <c r="R114" s="199">
        <v>0</v>
      </c>
      <c r="S114" s="199">
        <v>0</v>
      </c>
      <c r="T114" s="199">
        <v>0</v>
      </c>
      <c r="U114" s="200">
        <v>0</v>
      </c>
      <c r="V114" s="199">
        <v>0</v>
      </c>
      <c r="W114" s="199">
        <v>0</v>
      </c>
      <c r="X114" s="199">
        <v>0</v>
      </c>
      <c r="Y114" s="201">
        <v>0</v>
      </c>
      <c r="Z114" s="202">
        <v>0</v>
      </c>
      <c r="AA114" s="203">
        <v>0</v>
      </c>
      <c r="AB114" s="198">
        <v>0</v>
      </c>
      <c r="AC114" s="175"/>
      <c r="AD114" s="176" t="s">
        <v>485</v>
      </c>
      <c r="AE114" s="176"/>
      <c r="AF114" s="189" t="s">
        <v>117</v>
      </c>
      <c r="AG114" s="174" t="s">
        <v>99</v>
      </c>
      <c r="AH114" s="188"/>
      <c r="AI114" s="137"/>
    </row>
    <row r="115" spans="1:35" s="138" customFormat="1" ht="15.75" x14ac:dyDescent="0.25">
      <c r="A115" s="176">
        <v>46038</v>
      </c>
      <c r="B115" s="193" t="s">
        <v>442</v>
      </c>
      <c r="C115" s="164"/>
      <c r="D115" s="164"/>
      <c r="E115" s="164"/>
      <c r="F115" s="164">
        <v>2</v>
      </c>
      <c r="G115" s="164"/>
      <c r="H115" s="164"/>
      <c r="I115" s="164"/>
      <c r="J115" s="164"/>
      <c r="K115" s="225" t="s">
        <v>437</v>
      </c>
      <c r="L115" s="193" t="s">
        <v>481</v>
      </c>
      <c r="M115" s="210" t="s">
        <v>483</v>
      </c>
      <c r="N115" s="169">
        <v>2</v>
      </c>
      <c r="O115" s="170">
        <v>2</v>
      </c>
      <c r="P115" s="198">
        <v>0</v>
      </c>
      <c r="Q115" s="198">
        <v>0</v>
      </c>
      <c r="R115" s="199">
        <v>0</v>
      </c>
      <c r="S115" s="199">
        <v>0</v>
      </c>
      <c r="T115" s="199">
        <v>0</v>
      </c>
      <c r="U115" s="200">
        <v>0</v>
      </c>
      <c r="V115" s="199">
        <v>0</v>
      </c>
      <c r="W115" s="199">
        <v>0</v>
      </c>
      <c r="X115" s="199">
        <v>0</v>
      </c>
      <c r="Y115" s="201">
        <v>0</v>
      </c>
      <c r="Z115" s="202">
        <v>0</v>
      </c>
      <c r="AA115" s="203">
        <v>0</v>
      </c>
      <c r="AB115" s="198">
        <v>0</v>
      </c>
      <c r="AC115" s="175"/>
      <c r="AD115" s="176" t="s">
        <v>484</v>
      </c>
      <c r="AE115" s="176"/>
      <c r="AF115" s="189" t="s">
        <v>117</v>
      </c>
      <c r="AG115" s="174" t="s">
        <v>99</v>
      </c>
      <c r="AH115" s="188"/>
      <c r="AI115" s="137"/>
    </row>
    <row r="116" spans="1:35" s="138" customFormat="1" ht="15.75" x14ac:dyDescent="0.25">
      <c r="A116" s="176">
        <v>46038</v>
      </c>
      <c r="B116" s="192" t="s">
        <v>486</v>
      </c>
      <c r="C116" s="147"/>
      <c r="D116" s="147"/>
      <c r="E116" s="147"/>
      <c r="F116" s="147"/>
      <c r="G116" s="147"/>
      <c r="H116" s="147"/>
      <c r="I116" s="147">
        <v>2</v>
      </c>
      <c r="J116" s="147"/>
      <c r="K116" s="147" t="s">
        <v>181</v>
      </c>
      <c r="L116" s="192" t="s">
        <v>487</v>
      </c>
      <c r="M116" s="210" t="s">
        <v>488</v>
      </c>
      <c r="N116" s="169">
        <v>2</v>
      </c>
      <c r="O116" s="170">
        <v>2</v>
      </c>
      <c r="P116" s="198">
        <v>0</v>
      </c>
      <c r="Q116" s="198">
        <v>0</v>
      </c>
      <c r="R116" s="199">
        <v>0</v>
      </c>
      <c r="S116" s="199">
        <v>0</v>
      </c>
      <c r="T116" s="199">
        <v>0</v>
      </c>
      <c r="U116" s="200">
        <v>0</v>
      </c>
      <c r="V116" s="199">
        <v>0</v>
      </c>
      <c r="W116" s="199">
        <v>0</v>
      </c>
      <c r="X116" s="199">
        <v>0</v>
      </c>
      <c r="Y116" s="201">
        <v>0</v>
      </c>
      <c r="Z116" s="202">
        <v>0</v>
      </c>
      <c r="AA116" s="203">
        <v>0</v>
      </c>
      <c r="AB116" s="198">
        <v>0</v>
      </c>
      <c r="AC116" s="175"/>
      <c r="AD116" s="241">
        <v>0.45833333333333331</v>
      </c>
      <c r="AE116" s="241">
        <v>0.625</v>
      </c>
      <c r="AF116" s="189" t="s">
        <v>98</v>
      </c>
      <c r="AG116" s="174" t="s">
        <v>99</v>
      </c>
      <c r="AH116" s="188"/>
    </row>
    <row r="117" spans="1:35" s="138" customFormat="1" ht="15.75" x14ac:dyDescent="0.25">
      <c r="A117" s="176">
        <v>46038</v>
      </c>
      <c r="B117" s="192" t="s">
        <v>489</v>
      </c>
      <c r="C117" s="147"/>
      <c r="D117" s="147"/>
      <c r="E117" s="147"/>
      <c r="F117" s="147">
        <v>2</v>
      </c>
      <c r="G117" s="147"/>
      <c r="H117" s="147"/>
      <c r="I117" s="147"/>
      <c r="J117" s="147"/>
      <c r="K117" s="147" t="s">
        <v>490</v>
      </c>
      <c r="L117" s="192" t="s">
        <v>491</v>
      </c>
      <c r="M117" s="210" t="s">
        <v>492</v>
      </c>
      <c r="N117" s="169">
        <v>2</v>
      </c>
      <c r="O117" s="170">
        <v>2</v>
      </c>
      <c r="P117" s="198">
        <v>0</v>
      </c>
      <c r="Q117" s="198">
        <v>0</v>
      </c>
      <c r="R117" s="199">
        <v>0</v>
      </c>
      <c r="S117" s="199">
        <v>0</v>
      </c>
      <c r="T117" s="199">
        <v>0</v>
      </c>
      <c r="U117" s="200">
        <v>0</v>
      </c>
      <c r="V117" s="199">
        <v>0</v>
      </c>
      <c r="W117" s="199">
        <v>0</v>
      </c>
      <c r="X117" s="199">
        <v>0</v>
      </c>
      <c r="Y117" s="201">
        <v>0</v>
      </c>
      <c r="Z117" s="202">
        <v>0</v>
      </c>
      <c r="AA117" s="203">
        <v>0</v>
      </c>
      <c r="AB117" s="198">
        <v>0</v>
      </c>
      <c r="AC117" s="175"/>
      <c r="AD117" s="241">
        <v>0.60416666666666663</v>
      </c>
      <c r="AE117" s="241">
        <v>0.63541666666666663</v>
      </c>
      <c r="AF117" s="189" t="s">
        <v>98</v>
      </c>
      <c r="AG117" s="174" t="s">
        <v>99</v>
      </c>
      <c r="AH117" s="188"/>
    </row>
    <row r="118" spans="1:35" s="138" customFormat="1" ht="15.75" x14ac:dyDescent="0.25">
      <c r="A118" s="176">
        <v>46038</v>
      </c>
      <c r="B118" s="192" t="s">
        <v>493</v>
      </c>
      <c r="C118" s="147"/>
      <c r="D118" s="147"/>
      <c r="E118" s="147"/>
      <c r="F118" s="147">
        <v>2</v>
      </c>
      <c r="G118" s="147"/>
      <c r="H118" s="147"/>
      <c r="I118" s="147"/>
      <c r="J118" s="147"/>
      <c r="K118" s="147" t="s">
        <v>490</v>
      </c>
      <c r="L118" s="192" t="s">
        <v>491</v>
      </c>
      <c r="M118" s="210" t="s">
        <v>494</v>
      </c>
      <c r="N118" s="169">
        <v>2</v>
      </c>
      <c r="O118" s="170">
        <v>2</v>
      </c>
      <c r="P118" s="198">
        <v>0</v>
      </c>
      <c r="Q118" s="198">
        <v>0</v>
      </c>
      <c r="R118" s="199">
        <v>0</v>
      </c>
      <c r="S118" s="199">
        <v>0</v>
      </c>
      <c r="T118" s="199">
        <v>0</v>
      </c>
      <c r="U118" s="200">
        <v>0</v>
      </c>
      <c r="V118" s="199">
        <v>0</v>
      </c>
      <c r="W118" s="199">
        <v>0</v>
      </c>
      <c r="X118" s="199">
        <v>0</v>
      </c>
      <c r="Y118" s="201">
        <v>0</v>
      </c>
      <c r="Z118" s="202">
        <v>0</v>
      </c>
      <c r="AA118" s="203">
        <v>0</v>
      </c>
      <c r="AB118" s="198">
        <v>0</v>
      </c>
      <c r="AC118" s="175"/>
      <c r="AD118" s="241">
        <v>0.60416666666666663</v>
      </c>
      <c r="AE118" s="241">
        <v>0.64861111111111114</v>
      </c>
      <c r="AF118" s="189" t="s">
        <v>98</v>
      </c>
      <c r="AG118" s="174" t="s">
        <v>99</v>
      </c>
      <c r="AH118" s="188"/>
    </row>
    <row r="119" spans="1:35" s="138" customFormat="1" ht="15.75" x14ac:dyDescent="0.25">
      <c r="A119" s="176">
        <v>46038</v>
      </c>
      <c r="B119" s="184" t="s">
        <v>495</v>
      </c>
      <c r="C119" s="164"/>
      <c r="D119" s="164"/>
      <c r="E119" s="164"/>
      <c r="F119" s="164">
        <v>2</v>
      </c>
      <c r="G119" s="164"/>
      <c r="H119" s="164"/>
      <c r="I119" s="164"/>
      <c r="J119" s="164"/>
      <c r="K119" s="164" t="s">
        <v>490</v>
      </c>
      <c r="L119" s="184" t="s">
        <v>491</v>
      </c>
      <c r="M119" s="187" t="s">
        <v>496</v>
      </c>
      <c r="N119" s="169">
        <v>2</v>
      </c>
      <c r="O119" s="170">
        <v>2</v>
      </c>
      <c r="P119" s="198">
        <v>0</v>
      </c>
      <c r="Q119" s="198">
        <v>0</v>
      </c>
      <c r="R119" s="199">
        <v>0</v>
      </c>
      <c r="S119" s="199">
        <v>0</v>
      </c>
      <c r="T119" s="199">
        <v>0</v>
      </c>
      <c r="U119" s="200">
        <v>0</v>
      </c>
      <c r="V119" s="199">
        <v>0</v>
      </c>
      <c r="W119" s="199">
        <v>0</v>
      </c>
      <c r="X119" s="199">
        <v>0</v>
      </c>
      <c r="Y119" s="201">
        <v>0</v>
      </c>
      <c r="Z119" s="202">
        <v>0</v>
      </c>
      <c r="AA119" s="203">
        <v>0</v>
      </c>
      <c r="AB119" s="198">
        <v>0</v>
      </c>
      <c r="AC119" s="175"/>
      <c r="AD119" s="241">
        <v>0.63888888888888895</v>
      </c>
      <c r="AE119" s="241">
        <v>0.66666666666666663</v>
      </c>
      <c r="AF119" s="189" t="s">
        <v>98</v>
      </c>
      <c r="AG119" s="174" t="s">
        <v>99</v>
      </c>
      <c r="AH119" s="188"/>
    </row>
    <row r="120" spans="1:35" s="138" customFormat="1" ht="15.75" x14ac:dyDescent="0.25">
      <c r="A120" s="176">
        <v>46041</v>
      </c>
      <c r="B120" s="184" t="s">
        <v>497</v>
      </c>
      <c r="C120" s="164"/>
      <c r="D120" s="164"/>
      <c r="E120" s="164"/>
      <c r="F120" s="164">
        <v>1</v>
      </c>
      <c r="G120" s="164"/>
      <c r="H120" s="164"/>
      <c r="I120" s="164"/>
      <c r="J120" s="164"/>
      <c r="K120" s="164" t="s">
        <v>499</v>
      </c>
      <c r="L120" s="184"/>
      <c r="M120" s="187" t="s">
        <v>498</v>
      </c>
      <c r="N120" s="169">
        <v>1</v>
      </c>
      <c r="O120" s="170">
        <v>1</v>
      </c>
      <c r="P120" s="198">
        <v>0</v>
      </c>
      <c r="Q120" s="198">
        <v>0</v>
      </c>
      <c r="R120" s="199">
        <v>0</v>
      </c>
      <c r="S120" s="199">
        <v>0</v>
      </c>
      <c r="T120" s="199">
        <v>0</v>
      </c>
      <c r="U120" s="200">
        <v>0</v>
      </c>
      <c r="V120" s="199">
        <v>0</v>
      </c>
      <c r="W120" s="199">
        <v>0</v>
      </c>
      <c r="X120" s="199">
        <v>0</v>
      </c>
      <c r="Y120" s="201">
        <v>0</v>
      </c>
      <c r="Z120" s="202">
        <v>0</v>
      </c>
      <c r="AA120" s="203">
        <v>0</v>
      </c>
      <c r="AB120" s="198">
        <v>0</v>
      </c>
      <c r="AC120" s="175"/>
      <c r="AD120" s="176"/>
      <c r="AE120" s="241">
        <v>0.38194444444444442</v>
      </c>
      <c r="AF120" s="189" t="s">
        <v>98</v>
      </c>
      <c r="AG120" s="174" t="s">
        <v>99</v>
      </c>
      <c r="AH120" s="188"/>
    </row>
    <row r="121" spans="1:35" s="138" customFormat="1" ht="15.75" x14ac:dyDescent="0.25">
      <c r="A121" s="176">
        <v>46041</v>
      </c>
      <c r="B121" s="184" t="s">
        <v>500</v>
      </c>
      <c r="C121" s="164"/>
      <c r="D121" s="164"/>
      <c r="E121" s="164"/>
      <c r="F121" s="164">
        <v>1</v>
      </c>
      <c r="G121" s="164"/>
      <c r="H121" s="164"/>
      <c r="I121" s="164"/>
      <c r="J121" s="164"/>
      <c r="K121" s="150" t="s">
        <v>501</v>
      </c>
      <c r="L121" s="193" t="s">
        <v>502</v>
      </c>
      <c r="M121" s="210" t="s">
        <v>503</v>
      </c>
      <c r="N121" s="169">
        <v>1</v>
      </c>
      <c r="O121" s="170">
        <v>1</v>
      </c>
      <c r="P121" s="198">
        <v>0</v>
      </c>
      <c r="Q121" s="198">
        <v>0</v>
      </c>
      <c r="R121" s="199">
        <v>0</v>
      </c>
      <c r="S121" s="199">
        <v>0</v>
      </c>
      <c r="T121" s="199">
        <v>0</v>
      </c>
      <c r="U121" s="200">
        <v>0</v>
      </c>
      <c r="V121" s="199">
        <v>0</v>
      </c>
      <c r="W121" s="199">
        <v>0</v>
      </c>
      <c r="X121" s="199">
        <v>0</v>
      </c>
      <c r="Y121" s="201">
        <v>0</v>
      </c>
      <c r="Z121" s="202">
        <v>0</v>
      </c>
      <c r="AA121" s="203">
        <v>0</v>
      </c>
      <c r="AB121" s="198">
        <v>0</v>
      </c>
      <c r="AC121" s="175"/>
      <c r="AD121" s="241">
        <v>0.375</v>
      </c>
      <c r="AE121" s="241">
        <v>0.40138888888888885</v>
      </c>
      <c r="AF121" s="189" t="s">
        <v>98</v>
      </c>
      <c r="AG121" s="174" t="s">
        <v>99</v>
      </c>
      <c r="AH121" s="188"/>
    </row>
    <row r="122" spans="1:35" s="138" customFormat="1" ht="15.75" x14ac:dyDescent="0.25">
      <c r="A122" s="176">
        <v>46041</v>
      </c>
      <c r="B122" s="184" t="s">
        <v>471</v>
      </c>
      <c r="C122" s="164"/>
      <c r="D122" s="164"/>
      <c r="E122" s="164"/>
      <c r="F122" s="164">
        <v>1</v>
      </c>
      <c r="G122" s="164"/>
      <c r="H122" s="164"/>
      <c r="I122" s="164"/>
      <c r="J122" s="164"/>
      <c r="K122" s="150" t="s">
        <v>437</v>
      </c>
      <c r="L122" s="193" t="s">
        <v>438</v>
      </c>
      <c r="M122" s="210" t="s">
        <v>504</v>
      </c>
      <c r="N122" s="169">
        <v>1</v>
      </c>
      <c r="O122" s="170">
        <v>1</v>
      </c>
      <c r="P122" s="198">
        <v>0</v>
      </c>
      <c r="Q122" s="198">
        <v>0</v>
      </c>
      <c r="R122" s="199">
        <v>0</v>
      </c>
      <c r="S122" s="199">
        <v>0</v>
      </c>
      <c r="T122" s="199">
        <v>0</v>
      </c>
      <c r="U122" s="200">
        <v>0</v>
      </c>
      <c r="V122" s="199">
        <v>0</v>
      </c>
      <c r="W122" s="199">
        <v>0</v>
      </c>
      <c r="X122" s="199">
        <v>0</v>
      </c>
      <c r="Y122" s="201">
        <v>0</v>
      </c>
      <c r="Z122" s="202">
        <v>0</v>
      </c>
      <c r="AA122" s="203">
        <v>0</v>
      </c>
      <c r="AB122" s="198">
        <v>0</v>
      </c>
      <c r="AC122" s="175"/>
      <c r="AD122" s="176" t="s">
        <v>505</v>
      </c>
      <c r="AE122" s="241">
        <v>0.42222222222222222</v>
      </c>
      <c r="AF122" s="189" t="s">
        <v>98</v>
      </c>
      <c r="AG122" s="174" t="s">
        <v>99</v>
      </c>
      <c r="AH122" s="188"/>
    </row>
    <row r="123" spans="1:35" s="138" customFormat="1" ht="15.75" x14ac:dyDescent="0.25">
      <c r="A123" s="176">
        <v>46041</v>
      </c>
      <c r="B123" s="184" t="s">
        <v>436</v>
      </c>
      <c r="C123" s="164"/>
      <c r="D123" s="164"/>
      <c r="E123" s="164"/>
      <c r="F123" s="164">
        <v>1</v>
      </c>
      <c r="G123" s="164"/>
      <c r="H123" s="164"/>
      <c r="I123" s="164"/>
      <c r="J123" s="164"/>
      <c r="K123" s="150" t="s">
        <v>437</v>
      </c>
      <c r="L123" s="193" t="s">
        <v>472</v>
      </c>
      <c r="M123" s="210" t="s">
        <v>506</v>
      </c>
      <c r="N123" s="169">
        <v>1</v>
      </c>
      <c r="O123" s="170">
        <v>1</v>
      </c>
      <c r="P123" s="198">
        <v>0</v>
      </c>
      <c r="Q123" s="198">
        <v>0</v>
      </c>
      <c r="R123" s="199">
        <v>0</v>
      </c>
      <c r="S123" s="199">
        <v>0</v>
      </c>
      <c r="T123" s="199">
        <v>0</v>
      </c>
      <c r="U123" s="200">
        <v>0</v>
      </c>
      <c r="V123" s="199">
        <v>0</v>
      </c>
      <c r="W123" s="199">
        <v>0</v>
      </c>
      <c r="X123" s="199">
        <v>0</v>
      </c>
      <c r="Y123" s="201">
        <v>0</v>
      </c>
      <c r="Z123" s="202">
        <v>0</v>
      </c>
      <c r="AA123" s="203">
        <v>0</v>
      </c>
      <c r="AB123" s="198">
        <v>0</v>
      </c>
      <c r="AC123" s="175"/>
      <c r="AD123" s="176" t="s">
        <v>507</v>
      </c>
      <c r="AE123" s="241">
        <v>0.44444444444444442</v>
      </c>
      <c r="AF123" s="189" t="s">
        <v>98</v>
      </c>
      <c r="AG123" s="174" t="s">
        <v>99</v>
      </c>
      <c r="AH123" s="188"/>
    </row>
    <row r="124" spans="1:35" s="138" customFormat="1" ht="15.75" x14ac:dyDescent="0.25">
      <c r="A124" s="176">
        <v>46041</v>
      </c>
      <c r="B124" s="184" t="s">
        <v>508</v>
      </c>
      <c r="C124" s="164"/>
      <c r="D124" s="164"/>
      <c r="E124" s="164"/>
      <c r="F124" s="164">
        <v>1</v>
      </c>
      <c r="G124" s="164"/>
      <c r="H124" s="164"/>
      <c r="I124" s="164"/>
      <c r="J124" s="164"/>
      <c r="K124" s="150" t="s">
        <v>501</v>
      </c>
      <c r="L124" s="193" t="s">
        <v>502</v>
      </c>
      <c r="M124" s="210" t="s">
        <v>509</v>
      </c>
      <c r="N124" s="169">
        <v>1</v>
      </c>
      <c r="O124" s="170">
        <v>1</v>
      </c>
      <c r="P124" s="198">
        <v>0</v>
      </c>
      <c r="Q124" s="198">
        <v>0</v>
      </c>
      <c r="R124" s="199">
        <v>0</v>
      </c>
      <c r="S124" s="199">
        <v>0</v>
      </c>
      <c r="T124" s="199">
        <v>0</v>
      </c>
      <c r="U124" s="200">
        <v>0</v>
      </c>
      <c r="V124" s="199">
        <v>0</v>
      </c>
      <c r="W124" s="199">
        <v>0</v>
      </c>
      <c r="X124" s="199">
        <v>0</v>
      </c>
      <c r="Y124" s="201">
        <v>0</v>
      </c>
      <c r="Z124" s="202">
        <v>0</v>
      </c>
      <c r="AA124" s="203">
        <v>0</v>
      </c>
      <c r="AB124" s="198">
        <v>0</v>
      </c>
      <c r="AC124" s="175"/>
      <c r="AD124" s="241">
        <v>0.4145833333333333</v>
      </c>
      <c r="AE124" s="241">
        <v>0.46875</v>
      </c>
      <c r="AF124" s="189" t="s">
        <v>98</v>
      </c>
      <c r="AG124" s="174" t="s">
        <v>99</v>
      </c>
      <c r="AH124" s="188"/>
    </row>
    <row r="125" spans="1:35" s="138" customFormat="1" ht="15.75" x14ac:dyDescent="0.25">
      <c r="A125" s="176">
        <v>46041</v>
      </c>
      <c r="B125" s="184" t="s">
        <v>510</v>
      </c>
      <c r="C125" s="164"/>
      <c r="D125" s="164"/>
      <c r="E125" s="164"/>
      <c r="F125" s="164">
        <v>7</v>
      </c>
      <c r="G125" s="164"/>
      <c r="H125" s="164"/>
      <c r="I125" s="164"/>
      <c r="J125" s="164"/>
      <c r="K125" s="150" t="s">
        <v>511</v>
      </c>
      <c r="L125" s="193" t="s">
        <v>512</v>
      </c>
      <c r="M125" s="210" t="s">
        <v>513</v>
      </c>
      <c r="N125" s="169">
        <v>7</v>
      </c>
      <c r="O125" s="170">
        <v>7</v>
      </c>
      <c r="P125" s="198">
        <v>0</v>
      </c>
      <c r="Q125" s="198">
        <v>0</v>
      </c>
      <c r="R125" s="199">
        <v>0</v>
      </c>
      <c r="S125" s="199">
        <v>0</v>
      </c>
      <c r="T125" s="199">
        <v>0</v>
      </c>
      <c r="U125" s="200">
        <v>0</v>
      </c>
      <c r="V125" s="199">
        <v>0</v>
      </c>
      <c r="W125" s="199">
        <v>0</v>
      </c>
      <c r="X125" s="199">
        <v>0</v>
      </c>
      <c r="Y125" s="201">
        <v>0</v>
      </c>
      <c r="Z125" s="202">
        <v>0</v>
      </c>
      <c r="AA125" s="203">
        <v>0</v>
      </c>
      <c r="AB125" s="198">
        <v>0</v>
      </c>
      <c r="AC125" s="175"/>
      <c r="AD125" s="176" t="s">
        <v>514</v>
      </c>
      <c r="AE125" s="241">
        <v>0.55277777777777781</v>
      </c>
      <c r="AF125" s="189" t="s">
        <v>98</v>
      </c>
      <c r="AG125" s="174" t="s">
        <v>99</v>
      </c>
      <c r="AH125" s="188"/>
    </row>
    <row r="126" spans="1:35" s="138" customFormat="1" ht="15.75" x14ac:dyDescent="0.25">
      <c r="A126" s="176">
        <v>46041</v>
      </c>
      <c r="B126" s="184" t="s">
        <v>510</v>
      </c>
      <c r="C126" s="164"/>
      <c r="D126" s="164"/>
      <c r="E126" s="164"/>
      <c r="F126" s="164">
        <v>8</v>
      </c>
      <c r="G126" s="164"/>
      <c r="H126" s="164"/>
      <c r="I126" s="164"/>
      <c r="J126" s="164"/>
      <c r="K126" s="150" t="s">
        <v>511</v>
      </c>
      <c r="L126" s="193" t="s">
        <v>515</v>
      </c>
      <c r="M126" s="210" t="s">
        <v>516</v>
      </c>
      <c r="N126" s="169">
        <v>8</v>
      </c>
      <c r="O126" s="170">
        <v>8</v>
      </c>
      <c r="P126" s="198">
        <v>0</v>
      </c>
      <c r="Q126" s="198">
        <v>0</v>
      </c>
      <c r="R126" s="199">
        <v>0</v>
      </c>
      <c r="S126" s="199">
        <v>0</v>
      </c>
      <c r="T126" s="199">
        <v>0</v>
      </c>
      <c r="U126" s="200">
        <v>0</v>
      </c>
      <c r="V126" s="199">
        <v>0</v>
      </c>
      <c r="W126" s="199">
        <v>0</v>
      </c>
      <c r="X126" s="199">
        <v>0</v>
      </c>
      <c r="Y126" s="201">
        <v>0</v>
      </c>
      <c r="Z126" s="202">
        <v>0</v>
      </c>
      <c r="AA126" s="203">
        <v>0</v>
      </c>
      <c r="AB126" s="198">
        <v>0</v>
      </c>
      <c r="AC126" s="175"/>
      <c r="AD126" s="241">
        <v>0.4236111111111111</v>
      </c>
      <c r="AE126" s="241">
        <v>0.59930555555555554</v>
      </c>
      <c r="AF126" s="189" t="s">
        <v>98</v>
      </c>
      <c r="AG126" s="174" t="s">
        <v>99</v>
      </c>
      <c r="AH126" s="188"/>
    </row>
    <row r="127" spans="1:35" s="138" customFormat="1" ht="15.75" x14ac:dyDescent="0.25">
      <c r="A127" s="176">
        <v>46041</v>
      </c>
      <c r="B127" s="184" t="s">
        <v>517</v>
      </c>
      <c r="C127" s="164"/>
      <c r="D127" s="164"/>
      <c r="E127" s="164"/>
      <c r="F127" s="164">
        <v>1</v>
      </c>
      <c r="G127" s="164"/>
      <c r="H127" s="164"/>
      <c r="I127" s="164"/>
      <c r="J127" s="164"/>
      <c r="K127" s="164" t="s">
        <v>518</v>
      </c>
      <c r="L127" s="184" t="s">
        <v>519</v>
      </c>
      <c r="M127" s="187" t="s">
        <v>520</v>
      </c>
      <c r="N127" s="169">
        <v>1</v>
      </c>
      <c r="O127" s="170">
        <v>1</v>
      </c>
      <c r="P127" s="198">
        <v>0</v>
      </c>
      <c r="Q127" s="198">
        <v>0</v>
      </c>
      <c r="R127" s="199">
        <v>0</v>
      </c>
      <c r="S127" s="199">
        <v>0</v>
      </c>
      <c r="T127" s="199">
        <v>0</v>
      </c>
      <c r="U127" s="200">
        <v>0</v>
      </c>
      <c r="V127" s="199">
        <v>0</v>
      </c>
      <c r="W127" s="199">
        <v>0</v>
      </c>
      <c r="X127" s="199">
        <v>0</v>
      </c>
      <c r="Y127" s="201">
        <v>0</v>
      </c>
      <c r="Z127" s="202">
        <v>0</v>
      </c>
      <c r="AA127" s="203">
        <v>0</v>
      </c>
      <c r="AB127" s="198">
        <v>0</v>
      </c>
      <c r="AC127" s="175"/>
      <c r="AD127" s="241">
        <v>0.66319444444444442</v>
      </c>
      <c r="AE127" s="241">
        <v>0.64722222222222225</v>
      </c>
      <c r="AF127" s="189" t="s">
        <v>98</v>
      </c>
      <c r="AG127" s="174" t="s">
        <v>99</v>
      </c>
      <c r="AH127" s="188"/>
    </row>
    <row r="128" spans="1:35" s="138" customFormat="1" ht="15.75" x14ac:dyDescent="0.25">
      <c r="A128" s="176">
        <v>46041</v>
      </c>
      <c r="B128" s="184" t="s">
        <v>521</v>
      </c>
      <c r="C128" s="164"/>
      <c r="D128" s="164"/>
      <c r="E128" s="164"/>
      <c r="F128" s="164">
        <v>2</v>
      </c>
      <c r="G128" s="164"/>
      <c r="H128" s="164"/>
      <c r="I128" s="164"/>
      <c r="J128" s="164"/>
      <c r="K128" s="164" t="s">
        <v>250</v>
      </c>
      <c r="L128" s="184" t="s">
        <v>251</v>
      </c>
      <c r="M128" s="187" t="s">
        <v>522</v>
      </c>
      <c r="N128" s="169">
        <v>2</v>
      </c>
      <c r="O128" s="170">
        <v>2</v>
      </c>
      <c r="P128" s="198">
        <v>0</v>
      </c>
      <c r="Q128" s="198">
        <v>0</v>
      </c>
      <c r="R128" s="199">
        <v>0</v>
      </c>
      <c r="S128" s="199">
        <v>0</v>
      </c>
      <c r="T128" s="199">
        <v>0</v>
      </c>
      <c r="U128" s="200">
        <v>0</v>
      </c>
      <c r="V128" s="199">
        <v>0</v>
      </c>
      <c r="W128" s="199">
        <v>0</v>
      </c>
      <c r="X128" s="199">
        <v>0</v>
      </c>
      <c r="Y128" s="201">
        <v>0</v>
      </c>
      <c r="Z128" s="202">
        <v>0</v>
      </c>
      <c r="AA128" s="203">
        <v>0</v>
      </c>
      <c r="AB128" s="198">
        <v>0</v>
      </c>
      <c r="AC128" s="175"/>
      <c r="AD128" s="176"/>
      <c r="AE128" s="241">
        <v>0.67013888888888884</v>
      </c>
      <c r="AF128" s="189" t="s">
        <v>98</v>
      </c>
      <c r="AG128" s="174" t="s">
        <v>99</v>
      </c>
      <c r="AH128" s="159" t="s">
        <v>527</v>
      </c>
    </row>
    <row r="129" spans="1:34" s="138" customFormat="1" ht="15.75" x14ac:dyDescent="0.25">
      <c r="A129" s="176">
        <v>46041</v>
      </c>
      <c r="B129" s="184" t="s">
        <v>523</v>
      </c>
      <c r="C129" s="164">
        <v>1</v>
      </c>
      <c r="D129" s="164"/>
      <c r="E129" s="164">
        <v>1</v>
      </c>
      <c r="F129" s="164"/>
      <c r="G129" s="164"/>
      <c r="H129" s="164"/>
      <c r="I129" s="164"/>
      <c r="J129" s="164"/>
      <c r="K129" s="164" t="s">
        <v>476</v>
      </c>
      <c r="L129" s="184" t="s">
        <v>477</v>
      </c>
      <c r="M129" s="187" t="s">
        <v>524</v>
      </c>
      <c r="N129" s="169">
        <v>1</v>
      </c>
      <c r="O129" s="170">
        <v>1</v>
      </c>
      <c r="P129" s="198">
        <v>0</v>
      </c>
      <c r="Q129" s="198">
        <v>0</v>
      </c>
      <c r="R129" s="199">
        <v>0</v>
      </c>
      <c r="S129" s="199">
        <v>0</v>
      </c>
      <c r="T129" s="199">
        <v>0</v>
      </c>
      <c r="U129" s="200">
        <v>0</v>
      </c>
      <c r="V129" s="199">
        <v>0</v>
      </c>
      <c r="W129" s="199">
        <v>0</v>
      </c>
      <c r="X129" s="199">
        <v>0</v>
      </c>
      <c r="Y129" s="201">
        <v>0</v>
      </c>
      <c r="Z129" s="202">
        <v>0</v>
      </c>
      <c r="AA129" s="203">
        <v>0</v>
      </c>
      <c r="AB129" s="198">
        <v>0</v>
      </c>
      <c r="AC129" s="175"/>
      <c r="AD129" s="176"/>
      <c r="AE129" s="176"/>
      <c r="AF129" s="189" t="s">
        <v>117</v>
      </c>
      <c r="AG129" s="174" t="s">
        <v>99</v>
      </c>
      <c r="AH129" s="159"/>
    </row>
    <row r="130" spans="1:34" s="138" customFormat="1" ht="15.75" x14ac:dyDescent="0.25">
      <c r="A130" s="176">
        <v>46041</v>
      </c>
      <c r="B130" s="184" t="s">
        <v>525</v>
      </c>
      <c r="C130" s="164"/>
      <c r="D130" s="164"/>
      <c r="E130" s="164"/>
      <c r="F130" s="164">
        <v>2</v>
      </c>
      <c r="G130" s="164"/>
      <c r="H130" s="164"/>
      <c r="I130" s="164"/>
      <c r="J130" s="164"/>
      <c r="K130" s="164" t="s">
        <v>250</v>
      </c>
      <c r="L130" s="184" t="s">
        <v>317</v>
      </c>
      <c r="M130" s="187" t="s">
        <v>526</v>
      </c>
      <c r="N130" s="169">
        <v>2</v>
      </c>
      <c r="O130" s="170">
        <v>2</v>
      </c>
      <c r="P130" s="198">
        <v>0</v>
      </c>
      <c r="Q130" s="198">
        <v>0</v>
      </c>
      <c r="R130" s="199">
        <v>0</v>
      </c>
      <c r="S130" s="199">
        <v>0</v>
      </c>
      <c r="T130" s="199">
        <v>0</v>
      </c>
      <c r="U130" s="200">
        <v>0</v>
      </c>
      <c r="V130" s="199">
        <v>0</v>
      </c>
      <c r="W130" s="199">
        <v>0</v>
      </c>
      <c r="X130" s="199">
        <v>0</v>
      </c>
      <c r="Y130" s="201">
        <v>0</v>
      </c>
      <c r="Z130" s="202">
        <v>0</v>
      </c>
      <c r="AA130" s="203">
        <v>0</v>
      </c>
      <c r="AB130" s="198">
        <v>0</v>
      </c>
      <c r="AC130" s="175"/>
      <c r="AD130" s="176"/>
      <c r="AE130" s="241">
        <v>0.6875</v>
      </c>
      <c r="AF130" s="189" t="s">
        <v>98</v>
      </c>
      <c r="AG130" s="174" t="s">
        <v>99</v>
      </c>
      <c r="AH130" s="159" t="s">
        <v>527</v>
      </c>
    </row>
    <row r="131" spans="1:34" s="138" customFormat="1" ht="15.75" x14ac:dyDescent="0.25">
      <c r="A131" s="176">
        <v>46041</v>
      </c>
      <c r="B131" s="184" t="s">
        <v>528</v>
      </c>
      <c r="C131" s="164"/>
      <c r="D131" s="164"/>
      <c r="E131" s="164"/>
      <c r="F131" s="164">
        <v>2</v>
      </c>
      <c r="G131" s="164"/>
      <c r="H131" s="164"/>
      <c r="I131" s="164"/>
      <c r="J131" s="164"/>
      <c r="K131" s="164" t="s">
        <v>529</v>
      </c>
      <c r="L131" s="184" t="s">
        <v>530</v>
      </c>
      <c r="M131" s="238" t="s">
        <v>531</v>
      </c>
      <c r="N131" s="169">
        <v>2</v>
      </c>
      <c r="O131" s="170">
        <v>2</v>
      </c>
      <c r="P131" s="198">
        <v>0</v>
      </c>
      <c r="Q131" s="198">
        <v>0</v>
      </c>
      <c r="R131" s="199">
        <v>0</v>
      </c>
      <c r="S131" s="199">
        <v>0</v>
      </c>
      <c r="T131" s="199">
        <v>0</v>
      </c>
      <c r="U131" s="200">
        <v>0</v>
      </c>
      <c r="V131" s="199">
        <v>0</v>
      </c>
      <c r="W131" s="199">
        <v>0</v>
      </c>
      <c r="X131" s="199">
        <v>0</v>
      </c>
      <c r="Y131" s="201">
        <v>0</v>
      </c>
      <c r="Z131" s="202">
        <v>0</v>
      </c>
      <c r="AA131" s="203">
        <v>0</v>
      </c>
      <c r="AB131" s="198">
        <v>0</v>
      </c>
      <c r="AC131" s="175"/>
      <c r="AD131" s="176"/>
      <c r="AE131" s="241">
        <v>0.69791666666666663</v>
      </c>
      <c r="AF131" s="158" t="s">
        <v>98</v>
      </c>
      <c r="AG131" s="174" t="s">
        <v>99</v>
      </c>
      <c r="AH131" s="159"/>
    </row>
    <row r="132" spans="1:34" s="138" customFormat="1" ht="15.75" x14ac:dyDescent="0.25">
      <c r="A132" s="176">
        <v>46041</v>
      </c>
      <c r="B132" s="184" t="s">
        <v>532</v>
      </c>
      <c r="C132" s="164"/>
      <c r="D132" s="164">
        <v>1</v>
      </c>
      <c r="E132" s="164">
        <v>1</v>
      </c>
      <c r="F132" s="164"/>
      <c r="G132" s="164"/>
      <c r="H132" s="164"/>
      <c r="I132" s="164"/>
      <c r="J132" s="164"/>
      <c r="K132" s="164" t="s">
        <v>185</v>
      </c>
      <c r="L132" s="177" t="s">
        <v>533</v>
      </c>
      <c r="M132" s="187" t="s">
        <v>534</v>
      </c>
      <c r="N132" s="169">
        <v>1</v>
      </c>
      <c r="O132" s="170">
        <v>1</v>
      </c>
      <c r="P132" s="198">
        <v>0</v>
      </c>
      <c r="Q132" s="198">
        <v>0</v>
      </c>
      <c r="R132" s="199">
        <v>0</v>
      </c>
      <c r="S132" s="199">
        <v>0</v>
      </c>
      <c r="T132" s="199">
        <v>0</v>
      </c>
      <c r="U132" s="200">
        <v>0</v>
      </c>
      <c r="V132" s="199">
        <v>0</v>
      </c>
      <c r="W132" s="199">
        <v>0</v>
      </c>
      <c r="X132" s="199">
        <v>0</v>
      </c>
      <c r="Y132" s="201">
        <v>0</v>
      </c>
      <c r="Z132" s="202">
        <v>0</v>
      </c>
      <c r="AA132" s="203">
        <v>0</v>
      </c>
      <c r="AB132" s="198">
        <v>0</v>
      </c>
      <c r="AC132" s="175"/>
      <c r="AD132" s="241">
        <v>0.6875</v>
      </c>
      <c r="AE132" s="241">
        <v>0.71944444444444444</v>
      </c>
      <c r="AF132" s="158" t="s">
        <v>98</v>
      </c>
      <c r="AG132" s="174" t="s">
        <v>99</v>
      </c>
      <c r="AH132" s="159" t="s">
        <v>535</v>
      </c>
    </row>
    <row r="133" spans="1:34" s="138" customFormat="1" ht="15.75" x14ac:dyDescent="0.25">
      <c r="A133" s="176">
        <v>46042</v>
      </c>
      <c r="B133" s="184" t="s">
        <v>510</v>
      </c>
      <c r="C133" s="164"/>
      <c r="D133" s="164"/>
      <c r="E133" s="164"/>
      <c r="F133" s="164">
        <v>7</v>
      </c>
      <c r="G133" s="164"/>
      <c r="H133" s="164"/>
      <c r="I133" s="164"/>
      <c r="J133" s="164"/>
      <c r="K133" s="164" t="s">
        <v>511</v>
      </c>
      <c r="L133" s="184" t="s">
        <v>536</v>
      </c>
      <c r="M133" s="187" t="s">
        <v>537</v>
      </c>
      <c r="N133" s="169">
        <v>7</v>
      </c>
      <c r="O133" s="170">
        <v>7</v>
      </c>
      <c r="P133" s="198">
        <v>0</v>
      </c>
      <c r="Q133" s="198">
        <v>0</v>
      </c>
      <c r="R133" s="199">
        <v>0</v>
      </c>
      <c r="S133" s="199">
        <v>0</v>
      </c>
      <c r="T133" s="199">
        <v>0</v>
      </c>
      <c r="U133" s="200">
        <v>0</v>
      </c>
      <c r="V133" s="199">
        <v>0</v>
      </c>
      <c r="W133" s="199">
        <v>0</v>
      </c>
      <c r="X133" s="199">
        <v>0</v>
      </c>
      <c r="Y133" s="201">
        <v>0</v>
      </c>
      <c r="Z133" s="202">
        <v>0</v>
      </c>
      <c r="AA133" s="203">
        <v>0</v>
      </c>
      <c r="AB133" s="198">
        <v>0</v>
      </c>
      <c r="AC133" s="175"/>
      <c r="AD133" s="241">
        <v>0.35416666666666669</v>
      </c>
      <c r="AE133" s="241">
        <v>0.42708333333333331</v>
      </c>
      <c r="AF133" s="158" t="s">
        <v>98</v>
      </c>
      <c r="AG133" s="174" t="s">
        <v>99</v>
      </c>
      <c r="AH133" s="159"/>
    </row>
    <row r="134" spans="1:34" s="138" customFormat="1" ht="15.75" x14ac:dyDescent="0.25">
      <c r="A134" s="176">
        <v>46042</v>
      </c>
      <c r="B134" s="184" t="s">
        <v>539</v>
      </c>
      <c r="C134" s="164"/>
      <c r="D134" s="164"/>
      <c r="E134" s="164"/>
      <c r="F134" s="164">
        <v>1</v>
      </c>
      <c r="G134" s="164"/>
      <c r="H134" s="164"/>
      <c r="I134" s="164"/>
      <c r="J134" s="164"/>
      <c r="K134" s="164" t="s">
        <v>540</v>
      </c>
      <c r="L134" s="177" t="s">
        <v>541</v>
      </c>
      <c r="M134" s="187" t="s">
        <v>542</v>
      </c>
      <c r="N134" s="169">
        <v>1</v>
      </c>
      <c r="O134" s="170">
        <v>1</v>
      </c>
      <c r="P134" s="198">
        <v>0</v>
      </c>
      <c r="Q134" s="198">
        <v>0</v>
      </c>
      <c r="R134" s="199">
        <v>0</v>
      </c>
      <c r="S134" s="199">
        <v>0</v>
      </c>
      <c r="T134" s="199">
        <v>0</v>
      </c>
      <c r="U134" s="200">
        <v>0</v>
      </c>
      <c r="V134" s="199">
        <v>0</v>
      </c>
      <c r="W134" s="199">
        <v>0</v>
      </c>
      <c r="X134" s="199">
        <v>0</v>
      </c>
      <c r="Y134" s="201">
        <v>0</v>
      </c>
      <c r="Z134" s="202">
        <v>0</v>
      </c>
      <c r="AA134" s="203">
        <v>0</v>
      </c>
      <c r="AB134" s="198">
        <v>0</v>
      </c>
      <c r="AC134" s="175"/>
      <c r="AD134" s="241">
        <v>0.45833333333333331</v>
      </c>
      <c r="AE134" s="241">
        <v>0.52777777777777779</v>
      </c>
      <c r="AF134" s="158" t="s">
        <v>98</v>
      </c>
      <c r="AG134" s="174" t="s">
        <v>99</v>
      </c>
      <c r="AH134" s="159"/>
    </row>
    <row r="135" spans="1:34" s="138" customFormat="1" ht="15.75" x14ac:dyDescent="0.25">
      <c r="A135" s="176">
        <v>46042</v>
      </c>
      <c r="B135" s="184" t="s">
        <v>543</v>
      </c>
      <c r="C135" s="164">
        <v>1</v>
      </c>
      <c r="D135" s="164"/>
      <c r="E135" s="164"/>
      <c r="F135" s="164"/>
      <c r="G135" s="164"/>
      <c r="H135" s="164"/>
      <c r="I135" s="164"/>
      <c r="J135" s="164"/>
      <c r="K135" s="164" t="s">
        <v>544</v>
      </c>
      <c r="L135" s="184" t="s">
        <v>545</v>
      </c>
      <c r="M135" s="187" t="s">
        <v>546</v>
      </c>
      <c r="N135" s="169">
        <v>1</v>
      </c>
      <c r="O135" s="170">
        <v>1</v>
      </c>
      <c r="P135" s="198">
        <v>0</v>
      </c>
      <c r="Q135" s="198">
        <v>0</v>
      </c>
      <c r="R135" s="199">
        <v>0</v>
      </c>
      <c r="S135" s="199">
        <v>0</v>
      </c>
      <c r="T135" s="199">
        <v>0</v>
      </c>
      <c r="U135" s="200">
        <v>0</v>
      </c>
      <c r="V135" s="199">
        <v>0</v>
      </c>
      <c r="W135" s="199">
        <v>0</v>
      </c>
      <c r="X135" s="199">
        <v>0</v>
      </c>
      <c r="Y135" s="201">
        <v>0</v>
      </c>
      <c r="Z135" s="202">
        <v>0</v>
      </c>
      <c r="AA135" s="203">
        <v>0</v>
      </c>
      <c r="AB135" s="198">
        <v>0</v>
      </c>
      <c r="AC135" s="175"/>
      <c r="AD135" s="241">
        <v>0.38194444444444442</v>
      </c>
      <c r="AE135" s="241">
        <v>0.61458333333333337</v>
      </c>
      <c r="AF135" s="158" t="s">
        <v>98</v>
      </c>
      <c r="AG135" s="174" t="s">
        <v>99</v>
      </c>
      <c r="AH135" s="159" t="s">
        <v>547</v>
      </c>
    </row>
    <row r="136" spans="1:34" s="138" customFormat="1" ht="15.75" x14ac:dyDescent="0.25">
      <c r="A136" s="176">
        <v>46042</v>
      </c>
      <c r="B136" s="184" t="s">
        <v>548</v>
      </c>
      <c r="C136" s="164"/>
      <c r="D136" s="164"/>
      <c r="E136" s="164"/>
      <c r="F136" s="164">
        <v>6</v>
      </c>
      <c r="G136" s="164"/>
      <c r="H136" s="164"/>
      <c r="I136" s="164"/>
      <c r="J136" s="164"/>
      <c r="K136" s="164" t="s">
        <v>549</v>
      </c>
      <c r="L136" s="184" t="s">
        <v>550</v>
      </c>
      <c r="M136" s="187" t="s">
        <v>551</v>
      </c>
      <c r="N136" s="169">
        <v>6</v>
      </c>
      <c r="O136" s="170">
        <v>6</v>
      </c>
      <c r="P136" s="198">
        <v>0</v>
      </c>
      <c r="Q136" s="198">
        <v>0</v>
      </c>
      <c r="R136" s="199">
        <v>0</v>
      </c>
      <c r="S136" s="199">
        <v>0</v>
      </c>
      <c r="T136" s="199">
        <v>0</v>
      </c>
      <c r="U136" s="200">
        <v>0</v>
      </c>
      <c r="V136" s="199">
        <v>0</v>
      </c>
      <c r="W136" s="199">
        <v>0</v>
      </c>
      <c r="X136" s="199">
        <v>0</v>
      </c>
      <c r="Y136" s="201">
        <v>0</v>
      </c>
      <c r="Z136" s="202">
        <v>0</v>
      </c>
      <c r="AA136" s="203">
        <v>0</v>
      </c>
      <c r="AB136" s="198">
        <v>0</v>
      </c>
      <c r="AC136" s="175"/>
      <c r="AD136" s="241">
        <v>0.5625</v>
      </c>
      <c r="AE136" s="241">
        <v>0.62222222222222223</v>
      </c>
      <c r="AF136" s="158"/>
      <c r="AG136" s="174" t="s">
        <v>99</v>
      </c>
      <c r="AH136" s="159"/>
    </row>
    <row r="137" spans="1:34" s="138" customFormat="1" ht="15.75" x14ac:dyDescent="0.25">
      <c r="A137" s="176">
        <v>46042</v>
      </c>
      <c r="B137" s="184" t="s">
        <v>552</v>
      </c>
      <c r="C137" s="164"/>
      <c r="D137" s="164"/>
      <c r="E137" s="164"/>
      <c r="F137" s="164"/>
      <c r="G137" s="164"/>
      <c r="H137" s="164"/>
      <c r="I137" s="164">
        <v>2</v>
      </c>
      <c r="J137" s="164"/>
      <c r="K137" s="164" t="s">
        <v>165</v>
      </c>
      <c r="L137" s="184" t="s">
        <v>553</v>
      </c>
      <c r="M137" s="187" t="s">
        <v>556</v>
      </c>
      <c r="N137" s="169">
        <v>2</v>
      </c>
      <c r="O137" s="170">
        <v>2</v>
      </c>
      <c r="P137" s="198">
        <v>0</v>
      </c>
      <c r="Q137" s="198">
        <v>0</v>
      </c>
      <c r="R137" s="199">
        <v>0</v>
      </c>
      <c r="S137" s="199">
        <v>0</v>
      </c>
      <c r="T137" s="199">
        <v>0</v>
      </c>
      <c r="U137" s="200">
        <v>0</v>
      </c>
      <c r="V137" s="199">
        <v>0</v>
      </c>
      <c r="W137" s="199">
        <v>0</v>
      </c>
      <c r="X137" s="199">
        <v>0</v>
      </c>
      <c r="Y137" s="201">
        <v>0</v>
      </c>
      <c r="Z137" s="202">
        <v>0</v>
      </c>
      <c r="AA137" s="203">
        <v>0</v>
      </c>
      <c r="AB137" s="198">
        <v>0</v>
      </c>
      <c r="AC137" s="175"/>
      <c r="AD137" s="176"/>
      <c r="AE137" s="176"/>
      <c r="AF137" s="158" t="s">
        <v>117</v>
      </c>
      <c r="AG137" s="174" t="s">
        <v>99</v>
      </c>
      <c r="AH137" s="159"/>
    </row>
    <row r="138" spans="1:34" s="138" customFormat="1" ht="15.75" x14ac:dyDescent="0.25">
      <c r="A138" s="176">
        <v>46042</v>
      </c>
      <c r="B138" s="184" t="s">
        <v>555</v>
      </c>
      <c r="C138" s="164"/>
      <c r="D138" s="164"/>
      <c r="E138" s="164"/>
      <c r="F138" s="164"/>
      <c r="G138" s="164"/>
      <c r="H138" s="164"/>
      <c r="I138" s="164">
        <v>2</v>
      </c>
      <c r="J138" s="164"/>
      <c r="K138" s="164" t="s">
        <v>165</v>
      </c>
      <c r="L138" s="184" t="s">
        <v>554</v>
      </c>
      <c r="M138" s="187" t="s">
        <v>557</v>
      </c>
      <c r="N138" s="169">
        <v>2</v>
      </c>
      <c r="O138" s="170">
        <v>2</v>
      </c>
      <c r="P138" s="198">
        <v>0</v>
      </c>
      <c r="Q138" s="198">
        <v>0</v>
      </c>
      <c r="R138" s="199">
        <v>0</v>
      </c>
      <c r="S138" s="199">
        <v>0</v>
      </c>
      <c r="T138" s="199">
        <v>0</v>
      </c>
      <c r="U138" s="200">
        <v>0</v>
      </c>
      <c r="V138" s="199">
        <v>0</v>
      </c>
      <c r="W138" s="199">
        <v>0</v>
      </c>
      <c r="X138" s="199">
        <v>0</v>
      </c>
      <c r="Y138" s="201">
        <v>0</v>
      </c>
      <c r="Z138" s="202">
        <v>0</v>
      </c>
      <c r="AA138" s="203">
        <v>0</v>
      </c>
      <c r="AB138" s="198">
        <v>0</v>
      </c>
      <c r="AC138" s="175"/>
      <c r="AD138" s="176"/>
      <c r="AE138" s="176"/>
      <c r="AF138" s="158" t="s">
        <v>117</v>
      </c>
      <c r="AG138" s="174" t="s">
        <v>99</v>
      </c>
      <c r="AH138" s="159"/>
    </row>
    <row r="139" spans="1:34" s="138" customFormat="1" ht="15.75" x14ac:dyDescent="0.25">
      <c r="A139" s="176">
        <v>46042</v>
      </c>
      <c r="B139" s="184" t="s">
        <v>559</v>
      </c>
      <c r="C139" s="164"/>
      <c r="D139" s="164"/>
      <c r="E139" s="164"/>
      <c r="F139" s="164"/>
      <c r="G139" s="164"/>
      <c r="H139" s="164"/>
      <c r="I139" s="164">
        <v>1</v>
      </c>
      <c r="J139" s="164"/>
      <c r="K139" s="164" t="s">
        <v>558</v>
      </c>
      <c r="L139" s="184" t="s">
        <v>560</v>
      </c>
      <c r="M139" s="187" t="s">
        <v>561</v>
      </c>
      <c r="N139" s="169">
        <v>1</v>
      </c>
      <c r="O139" s="170">
        <v>1</v>
      </c>
      <c r="P139" s="198">
        <v>0</v>
      </c>
      <c r="Q139" s="198">
        <v>0</v>
      </c>
      <c r="R139" s="199">
        <v>0</v>
      </c>
      <c r="S139" s="199">
        <v>0</v>
      </c>
      <c r="T139" s="199">
        <v>0</v>
      </c>
      <c r="U139" s="200">
        <v>0</v>
      </c>
      <c r="V139" s="199">
        <v>0</v>
      </c>
      <c r="W139" s="199">
        <v>0</v>
      </c>
      <c r="X139" s="199">
        <v>0</v>
      </c>
      <c r="Y139" s="201">
        <v>0</v>
      </c>
      <c r="Z139" s="202">
        <v>0</v>
      </c>
      <c r="AA139" s="203">
        <v>0</v>
      </c>
      <c r="AB139" s="198">
        <v>0</v>
      </c>
      <c r="AC139" s="175"/>
      <c r="AD139" s="176"/>
      <c r="AE139" s="176"/>
      <c r="AF139" s="158" t="s">
        <v>117</v>
      </c>
      <c r="AG139" s="174" t="s">
        <v>99</v>
      </c>
      <c r="AH139" s="159"/>
    </row>
    <row r="140" spans="1:34" s="138" customFormat="1" ht="15.75" x14ac:dyDescent="0.25">
      <c r="A140" s="176">
        <v>46042</v>
      </c>
      <c r="B140" s="184" t="s">
        <v>564</v>
      </c>
      <c r="C140" s="164"/>
      <c r="D140" s="164"/>
      <c r="E140" s="164"/>
      <c r="F140" s="164"/>
      <c r="G140" s="164"/>
      <c r="H140" s="164"/>
      <c r="I140" s="164">
        <v>2</v>
      </c>
      <c r="J140" s="164"/>
      <c r="K140" s="164" t="s">
        <v>165</v>
      </c>
      <c r="L140" s="184" t="s">
        <v>563</v>
      </c>
      <c r="M140" s="187" t="s">
        <v>562</v>
      </c>
      <c r="N140" s="169">
        <v>2</v>
      </c>
      <c r="O140" s="170">
        <v>2</v>
      </c>
      <c r="P140" s="198">
        <v>0</v>
      </c>
      <c r="Q140" s="198">
        <v>0</v>
      </c>
      <c r="R140" s="199">
        <v>0</v>
      </c>
      <c r="S140" s="199">
        <v>0</v>
      </c>
      <c r="T140" s="199">
        <v>0</v>
      </c>
      <c r="U140" s="200">
        <v>0</v>
      </c>
      <c r="V140" s="199">
        <v>0</v>
      </c>
      <c r="W140" s="199">
        <v>0</v>
      </c>
      <c r="X140" s="199">
        <v>0</v>
      </c>
      <c r="Y140" s="201">
        <v>0</v>
      </c>
      <c r="Z140" s="202">
        <v>0</v>
      </c>
      <c r="AA140" s="203">
        <v>0</v>
      </c>
      <c r="AB140" s="198">
        <v>0</v>
      </c>
      <c r="AC140" s="175"/>
      <c r="AD140" s="176"/>
      <c r="AE140" s="176"/>
      <c r="AF140" s="158" t="s">
        <v>117</v>
      </c>
      <c r="AG140" s="174" t="s">
        <v>99</v>
      </c>
      <c r="AH140" s="159"/>
    </row>
    <row r="141" spans="1:34" s="313" customFormat="1" ht="15.75" x14ac:dyDescent="0.25">
      <c r="A141" s="294">
        <v>46042</v>
      </c>
      <c r="B141" s="314" t="s">
        <v>565</v>
      </c>
      <c r="C141" s="297"/>
      <c r="D141" s="297"/>
      <c r="E141" s="297">
        <v>1</v>
      </c>
      <c r="F141" s="297"/>
      <c r="G141" s="297"/>
      <c r="H141" s="297"/>
      <c r="I141" s="297"/>
      <c r="J141" s="297"/>
      <c r="K141" s="297" t="s">
        <v>145</v>
      </c>
      <c r="L141" s="314" t="s">
        <v>566</v>
      </c>
      <c r="M141" s="315" t="s">
        <v>567</v>
      </c>
      <c r="N141" s="316">
        <v>1</v>
      </c>
      <c r="O141" s="317">
        <v>1</v>
      </c>
      <c r="P141" s="301">
        <v>0</v>
      </c>
      <c r="Q141" s="301">
        <v>0</v>
      </c>
      <c r="R141" s="302">
        <v>0</v>
      </c>
      <c r="S141" s="302">
        <v>0</v>
      </c>
      <c r="T141" s="302">
        <v>0</v>
      </c>
      <c r="U141" s="303">
        <v>0</v>
      </c>
      <c r="V141" s="302">
        <v>0</v>
      </c>
      <c r="W141" s="302">
        <v>0</v>
      </c>
      <c r="X141" s="302">
        <v>0</v>
      </c>
      <c r="Y141" s="304">
        <v>0</v>
      </c>
      <c r="Z141" s="305">
        <v>0</v>
      </c>
      <c r="AA141" s="306">
        <v>0</v>
      </c>
      <c r="AB141" s="301">
        <v>0</v>
      </c>
      <c r="AC141" s="307"/>
      <c r="AD141" s="318">
        <v>0.625</v>
      </c>
      <c r="AE141" s="318">
        <v>0.67361111111111116</v>
      </c>
      <c r="AF141" s="319" t="s">
        <v>98</v>
      </c>
      <c r="AG141" s="310" t="s">
        <v>99</v>
      </c>
      <c r="AH141" s="320"/>
    </row>
    <row r="142" spans="1:34" s="138" customFormat="1" ht="15.75" x14ac:dyDescent="0.25">
      <c r="A142" s="176">
        <v>46042</v>
      </c>
      <c r="B142" s="184" t="s">
        <v>568</v>
      </c>
      <c r="C142" s="164"/>
      <c r="D142" s="164"/>
      <c r="E142" s="164"/>
      <c r="F142" s="164">
        <v>1</v>
      </c>
      <c r="G142" s="164"/>
      <c r="H142" s="164"/>
      <c r="I142" s="164"/>
      <c r="J142" s="164"/>
      <c r="K142" s="164" t="s">
        <v>261</v>
      </c>
      <c r="L142" s="184" t="s">
        <v>569</v>
      </c>
      <c r="M142" s="187" t="s">
        <v>570</v>
      </c>
      <c r="N142" s="169">
        <v>1</v>
      </c>
      <c r="O142" s="170">
        <v>1</v>
      </c>
      <c r="P142" s="198">
        <v>0</v>
      </c>
      <c r="Q142" s="198">
        <v>0</v>
      </c>
      <c r="R142" s="199">
        <v>0</v>
      </c>
      <c r="S142" s="199">
        <v>0</v>
      </c>
      <c r="T142" s="199">
        <v>0</v>
      </c>
      <c r="U142" s="200">
        <v>0</v>
      </c>
      <c r="V142" s="199">
        <v>0</v>
      </c>
      <c r="W142" s="199">
        <v>0</v>
      </c>
      <c r="X142" s="199">
        <v>0</v>
      </c>
      <c r="Y142" s="201">
        <v>0</v>
      </c>
      <c r="Z142" s="202">
        <v>0</v>
      </c>
      <c r="AA142" s="203">
        <v>0</v>
      </c>
      <c r="AB142" s="198">
        <v>0</v>
      </c>
      <c r="AC142" s="175"/>
      <c r="AD142" s="241">
        <v>0.5</v>
      </c>
      <c r="AE142" s="241">
        <v>0.69097222222222221</v>
      </c>
      <c r="AF142" s="189" t="s">
        <v>168</v>
      </c>
      <c r="AG142" s="174" t="s">
        <v>99</v>
      </c>
      <c r="AH142" s="159"/>
    </row>
    <row r="143" spans="1:34" s="138" customFormat="1" ht="16.5" customHeight="1" x14ac:dyDescent="0.25">
      <c r="A143" s="176">
        <v>46042</v>
      </c>
      <c r="B143" s="184" t="s">
        <v>571</v>
      </c>
      <c r="C143" s="164"/>
      <c r="D143" s="164"/>
      <c r="E143" s="164"/>
      <c r="F143" s="164">
        <v>1</v>
      </c>
      <c r="G143" s="164"/>
      <c r="H143" s="164"/>
      <c r="I143" s="164"/>
      <c r="J143" s="164"/>
      <c r="K143" s="164" t="s">
        <v>572</v>
      </c>
      <c r="L143" s="184" t="s">
        <v>574</v>
      </c>
      <c r="M143" s="187" t="s">
        <v>573</v>
      </c>
      <c r="N143" s="169">
        <v>1</v>
      </c>
      <c r="O143" s="170">
        <v>1</v>
      </c>
      <c r="P143" s="198">
        <v>0</v>
      </c>
      <c r="Q143" s="198">
        <v>0</v>
      </c>
      <c r="R143" s="199">
        <v>0</v>
      </c>
      <c r="S143" s="199">
        <v>0</v>
      </c>
      <c r="T143" s="199">
        <v>0</v>
      </c>
      <c r="U143" s="200">
        <v>0</v>
      </c>
      <c r="V143" s="199">
        <v>0</v>
      </c>
      <c r="W143" s="199">
        <v>0</v>
      </c>
      <c r="X143" s="199">
        <v>0</v>
      </c>
      <c r="Y143" s="201">
        <v>0</v>
      </c>
      <c r="Z143" s="202">
        <v>0</v>
      </c>
      <c r="AA143" s="203">
        <v>0</v>
      </c>
      <c r="AB143" s="198">
        <v>0</v>
      </c>
      <c r="AC143" s="175"/>
      <c r="AD143" s="241">
        <v>0.61805555555555558</v>
      </c>
      <c r="AE143" s="241">
        <v>0.69444444444444453</v>
      </c>
      <c r="AF143" s="189" t="s">
        <v>98</v>
      </c>
      <c r="AG143" s="174" t="s">
        <v>99</v>
      </c>
      <c r="AH143" s="159"/>
    </row>
    <row r="144" spans="1:34" s="138" customFormat="1" ht="16.5" customHeight="1" x14ac:dyDescent="0.25">
      <c r="A144" s="176">
        <v>46042</v>
      </c>
      <c r="B144" s="184" t="s">
        <v>575</v>
      </c>
      <c r="C144" s="164"/>
      <c r="D144" s="164"/>
      <c r="E144" s="164"/>
      <c r="F144" s="164">
        <v>1</v>
      </c>
      <c r="G144" s="164"/>
      <c r="H144" s="164"/>
      <c r="I144" s="164"/>
      <c r="J144" s="164"/>
      <c r="K144" s="164" t="s">
        <v>576</v>
      </c>
      <c r="L144" s="184" t="s">
        <v>577</v>
      </c>
      <c r="M144" s="239" t="s">
        <v>578</v>
      </c>
      <c r="N144" s="169">
        <v>1</v>
      </c>
      <c r="O144" s="170">
        <v>1</v>
      </c>
      <c r="P144" s="198">
        <v>0</v>
      </c>
      <c r="Q144" s="198">
        <v>0</v>
      </c>
      <c r="R144" s="199">
        <v>0</v>
      </c>
      <c r="S144" s="199">
        <v>0</v>
      </c>
      <c r="T144" s="199">
        <v>0</v>
      </c>
      <c r="U144" s="200">
        <v>0</v>
      </c>
      <c r="V144" s="199">
        <v>0</v>
      </c>
      <c r="W144" s="199">
        <v>0</v>
      </c>
      <c r="X144" s="199">
        <v>0</v>
      </c>
      <c r="Y144" s="201">
        <v>0</v>
      </c>
      <c r="Z144" s="202">
        <v>0</v>
      </c>
      <c r="AA144" s="203">
        <v>0</v>
      </c>
      <c r="AB144" s="198">
        <v>0</v>
      </c>
      <c r="AC144" s="175"/>
      <c r="AD144" s="241">
        <v>0.64236111111111105</v>
      </c>
      <c r="AE144" s="241">
        <v>0.70833333333333337</v>
      </c>
      <c r="AF144" s="189" t="s">
        <v>98</v>
      </c>
      <c r="AG144" s="174" t="s">
        <v>99</v>
      </c>
      <c r="AH144" s="159"/>
    </row>
    <row r="145" spans="1:34" s="138" customFormat="1" ht="16.5" customHeight="1" x14ac:dyDescent="0.25">
      <c r="A145" s="176">
        <v>46042</v>
      </c>
      <c r="B145" s="184" t="s">
        <v>579</v>
      </c>
      <c r="C145" s="164"/>
      <c r="D145" s="164"/>
      <c r="E145" s="164"/>
      <c r="F145" s="164">
        <v>1</v>
      </c>
      <c r="G145" s="164"/>
      <c r="H145" s="164"/>
      <c r="I145" s="164"/>
      <c r="J145" s="164"/>
      <c r="K145" s="164" t="s">
        <v>580</v>
      </c>
      <c r="L145" s="184" t="s">
        <v>581</v>
      </c>
      <c r="M145" s="187" t="s">
        <v>582</v>
      </c>
      <c r="N145" s="169">
        <v>1</v>
      </c>
      <c r="O145" s="170">
        <v>1</v>
      </c>
      <c r="P145" s="198">
        <v>0</v>
      </c>
      <c r="Q145" s="198">
        <v>0</v>
      </c>
      <c r="R145" s="199">
        <v>0</v>
      </c>
      <c r="S145" s="199">
        <v>0</v>
      </c>
      <c r="T145" s="199">
        <v>0</v>
      </c>
      <c r="U145" s="200">
        <v>0</v>
      </c>
      <c r="V145" s="199">
        <v>0</v>
      </c>
      <c r="W145" s="199">
        <v>0</v>
      </c>
      <c r="X145" s="199">
        <v>0</v>
      </c>
      <c r="Y145" s="201">
        <v>0</v>
      </c>
      <c r="Z145" s="202">
        <v>0</v>
      </c>
      <c r="AA145" s="203">
        <v>0</v>
      </c>
      <c r="AB145" s="198">
        <v>0</v>
      </c>
      <c r="AC145" s="175"/>
      <c r="AD145" s="241">
        <v>0.3923611111111111</v>
      </c>
      <c r="AE145" s="241">
        <v>0.72222222222222221</v>
      </c>
      <c r="AF145" s="158" t="s">
        <v>117</v>
      </c>
      <c r="AG145" s="174" t="s">
        <v>99</v>
      </c>
      <c r="AH145" s="159"/>
    </row>
    <row r="146" spans="1:34" s="284" customFormat="1" ht="15.75" x14ac:dyDescent="0.25">
      <c r="A146" s="243">
        <v>46042</v>
      </c>
      <c r="B146" s="247" t="s">
        <v>583</v>
      </c>
      <c r="C146" s="281"/>
      <c r="D146" s="281"/>
      <c r="E146" s="281"/>
      <c r="F146" s="281">
        <v>3</v>
      </c>
      <c r="G146" s="281"/>
      <c r="H146" s="281"/>
      <c r="I146" s="281"/>
      <c r="J146" s="281"/>
      <c r="K146" s="281" t="s">
        <v>584</v>
      </c>
      <c r="L146" s="247" t="s">
        <v>585</v>
      </c>
      <c r="M146" s="248" t="s">
        <v>586</v>
      </c>
      <c r="N146" s="285">
        <v>3</v>
      </c>
      <c r="O146" s="286">
        <v>2</v>
      </c>
      <c r="P146" s="251">
        <v>1</v>
      </c>
      <c r="Q146" s="251">
        <v>0</v>
      </c>
      <c r="R146" s="252">
        <v>1</v>
      </c>
      <c r="S146" s="252">
        <v>0</v>
      </c>
      <c r="T146" s="252">
        <v>0</v>
      </c>
      <c r="U146" s="253">
        <v>0</v>
      </c>
      <c r="V146" s="252">
        <v>0</v>
      </c>
      <c r="W146" s="252">
        <v>0</v>
      </c>
      <c r="X146" s="252">
        <v>0</v>
      </c>
      <c r="Y146" s="254">
        <v>0</v>
      </c>
      <c r="Z146" s="255">
        <v>0</v>
      </c>
      <c r="AA146" s="256">
        <v>0</v>
      </c>
      <c r="AB146" s="251">
        <v>1</v>
      </c>
      <c r="AC146" s="246"/>
      <c r="AD146" s="243"/>
      <c r="AE146" s="287">
        <v>0.72916666666666663</v>
      </c>
      <c r="AF146" s="288" t="s">
        <v>625</v>
      </c>
      <c r="AG146" s="260" t="s">
        <v>99</v>
      </c>
      <c r="AH146" s="289" t="s">
        <v>626</v>
      </c>
    </row>
    <row r="147" spans="1:34" s="138" customFormat="1" ht="15.75" x14ac:dyDescent="0.25">
      <c r="A147" s="176">
        <v>46042</v>
      </c>
      <c r="B147" s="184" t="s">
        <v>587</v>
      </c>
      <c r="C147" s="164"/>
      <c r="D147" s="164"/>
      <c r="E147" s="164"/>
      <c r="F147" s="164">
        <v>1</v>
      </c>
      <c r="G147" s="164"/>
      <c r="H147" s="164"/>
      <c r="I147" s="164"/>
      <c r="J147" s="164"/>
      <c r="K147" s="164" t="s">
        <v>588</v>
      </c>
      <c r="L147" s="184" t="s">
        <v>589</v>
      </c>
      <c r="M147" s="187" t="s">
        <v>590</v>
      </c>
      <c r="N147" s="169">
        <v>1</v>
      </c>
      <c r="O147" s="170">
        <v>1</v>
      </c>
      <c r="P147" s="198">
        <v>0</v>
      </c>
      <c r="Q147" s="198">
        <v>0</v>
      </c>
      <c r="R147" s="199">
        <v>0</v>
      </c>
      <c r="S147" s="199">
        <v>0</v>
      </c>
      <c r="T147" s="199">
        <v>0</v>
      </c>
      <c r="U147" s="200">
        <v>0</v>
      </c>
      <c r="V147" s="199">
        <v>0</v>
      </c>
      <c r="W147" s="199">
        <v>0</v>
      </c>
      <c r="X147" s="199">
        <v>0</v>
      </c>
      <c r="Y147" s="201">
        <v>0</v>
      </c>
      <c r="Z147" s="202">
        <v>0</v>
      </c>
      <c r="AA147" s="203">
        <v>0</v>
      </c>
      <c r="AB147" s="198">
        <v>0</v>
      </c>
      <c r="AC147" s="175"/>
      <c r="AD147" s="176"/>
      <c r="AE147" s="241">
        <v>0.72638888888888886</v>
      </c>
      <c r="AF147" s="158" t="s">
        <v>168</v>
      </c>
      <c r="AG147" s="174" t="s">
        <v>99</v>
      </c>
      <c r="AH147" s="159"/>
    </row>
    <row r="148" spans="1:34" s="138" customFormat="1" ht="15.75" x14ac:dyDescent="0.25">
      <c r="A148" s="176">
        <v>46043</v>
      </c>
      <c r="B148" s="184" t="s">
        <v>455</v>
      </c>
      <c r="C148" s="164"/>
      <c r="D148" s="164"/>
      <c r="E148" s="164"/>
      <c r="F148" s="164">
        <v>1</v>
      </c>
      <c r="G148" s="164"/>
      <c r="H148" s="164"/>
      <c r="I148" s="164"/>
      <c r="J148" s="164"/>
      <c r="K148" s="164" t="s">
        <v>437</v>
      </c>
      <c r="L148" s="184" t="s">
        <v>468</v>
      </c>
      <c r="M148" s="187" t="s">
        <v>597</v>
      </c>
      <c r="N148" s="169">
        <v>1</v>
      </c>
      <c r="O148" s="170">
        <v>1</v>
      </c>
      <c r="P148" s="198">
        <v>0</v>
      </c>
      <c r="Q148" s="198">
        <v>0</v>
      </c>
      <c r="R148" s="199">
        <v>0</v>
      </c>
      <c r="S148" s="199">
        <v>0</v>
      </c>
      <c r="T148" s="199">
        <v>0</v>
      </c>
      <c r="U148" s="200">
        <v>0</v>
      </c>
      <c r="V148" s="199">
        <v>0</v>
      </c>
      <c r="W148" s="199">
        <v>0</v>
      </c>
      <c r="X148" s="199">
        <v>0</v>
      </c>
      <c r="Y148" s="201">
        <v>0</v>
      </c>
      <c r="Z148" s="202">
        <v>0</v>
      </c>
      <c r="AA148" s="203">
        <v>0</v>
      </c>
      <c r="AB148" s="198">
        <v>0</v>
      </c>
      <c r="AC148" s="175"/>
      <c r="AD148" s="176" t="s">
        <v>591</v>
      </c>
      <c r="AE148" s="241">
        <v>0.34722222222222227</v>
      </c>
      <c r="AF148" s="158" t="s">
        <v>98</v>
      </c>
      <c r="AG148" s="174" t="s">
        <v>99</v>
      </c>
      <c r="AH148" s="159"/>
    </row>
    <row r="149" spans="1:34" s="138" customFormat="1" ht="15.75" x14ac:dyDescent="0.25">
      <c r="A149" s="176">
        <v>46043</v>
      </c>
      <c r="B149" s="184" t="s">
        <v>592</v>
      </c>
      <c r="C149" s="164"/>
      <c r="D149" s="164"/>
      <c r="E149" s="164"/>
      <c r="F149" s="164">
        <v>5</v>
      </c>
      <c r="G149" s="164"/>
      <c r="H149" s="164"/>
      <c r="I149" s="164"/>
      <c r="J149" s="164"/>
      <c r="K149" s="164" t="s">
        <v>593</v>
      </c>
      <c r="L149" s="184" t="s">
        <v>594</v>
      </c>
      <c r="M149" s="187" t="s">
        <v>595</v>
      </c>
      <c r="N149" s="169">
        <v>5</v>
      </c>
      <c r="O149" s="170">
        <v>5</v>
      </c>
      <c r="P149" s="198">
        <v>0</v>
      </c>
      <c r="Q149" s="198">
        <v>0</v>
      </c>
      <c r="R149" s="199">
        <v>0</v>
      </c>
      <c r="S149" s="199">
        <v>0</v>
      </c>
      <c r="T149" s="199">
        <v>0</v>
      </c>
      <c r="U149" s="200">
        <v>0</v>
      </c>
      <c r="V149" s="199">
        <v>0</v>
      </c>
      <c r="W149" s="199">
        <v>0</v>
      </c>
      <c r="X149" s="199">
        <v>0</v>
      </c>
      <c r="Y149" s="201">
        <v>0</v>
      </c>
      <c r="Z149" s="202">
        <v>0</v>
      </c>
      <c r="AA149" s="203">
        <v>0</v>
      </c>
      <c r="AB149" s="198">
        <v>0</v>
      </c>
      <c r="AC149" s="175"/>
      <c r="AD149" s="176"/>
      <c r="AE149" s="241">
        <v>0.375</v>
      </c>
      <c r="AF149" s="158" t="s">
        <v>596</v>
      </c>
      <c r="AG149" s="174" t="s">
        <v>99</v>
      </c>
      <c r="AH149" s="159"/>
    </row>
    <row r="150" spans="1:34" s="138" customFormat="1" ht="15.75" x14ac:dyDescent="0.25">
      <c r="A150" s="176">
        <v>46043</v>
      </c>
      <c r="B150" s="184" t="s">
        <v>455</v>
      </c>
      <c r="C150" s="164"/>
      <c r="D150" s="164"/>
      <c r="E150" s="164"/>
      <c r="F150" s="164">
        <v>1</v>
      </c>
      <c r="G150" s="164"/>
      <c r="H150" s="164"/>
      <c r="I150" s="164"/>
      <c r="J150" s="164"/>
      <c r="K150" s="164" t="s">
        <v>598</v>
      </c>
      <c r="L150" s="184" t="s">
        <v>481</v>
      </c>
      <c r="M150" s="187" t="s">
        <v>599</v>
      </c>
      <c r="N150" s="169">
        <v>1</v>
      </c>
      <c r="O150" s="170">
        <v>1</v>
      </c>
      <c r="P150" s="198">
        <v>0</v>
      </c>
      <c r="Q150" s="198">
        <v>0</v>
      </c>
      <c r="R150" s="199">
        <v>0</v>
      </c>
      <c r="S150" s="199">
        <v>0</v>
      </c>
      <c r="T150" s="199">
        <v>0</v>
      </c>
      <c r="U150" s="200">
        <v>0</v>
      </c>
      <c r="V150" s="199">
        <v>0</v>
      </c>
      <c r="W150" s="199">
        <v>0</v>
      </c>
      <c r="X150" s="199">
        <v>0</v>
      </c>
      <c r="Y150" s="201">
        <v>0</v>
      </c>
      <c r="Z150" s="202">
        <v>0</v>
      </c>
      <c r="AA150" s="203">
        <v>0</v>
      </c>
      <c r="AB150" s="198">
        <v>0</v>
      </c>
      <c r="AC150" s="175"/>
      <c r="AD150" s="176" t="s">
        <v>600</v>
      </c>
      <c r="AE150" s="241">
        <v>0.38194444444444442</v>
      </c>
      <c r="AF150" s="158" t="s">
        <v>98</v>
      </c>
      <c r="AG150" s="174" t="s">
        <v>99</v>
      </c>
      <c r="AH150" s="159"/>
    </row>
    <row r="151" spans="1:34" s="138" customFormat="1" ht="15.75" x14ac:dyDescent="0.25">
      <c r="A151" s="176">
        <v>46043</v>
      </c>
      <c r="B151" s="184" t="s">
        <v>601</v>
      </c>
      <c r="C151" s="164"/>
      <c r="D151" s="164"/>
      <c r="E151" s="164"/>
      <c r="F151" s="164">
        <v>2</v>
      </c>
      <c r="G151" s="164"/>
      <c r="H151" s="164"/>
      <c r="I151" s="164"/>
      <c r="J151" s="164"/>
      <c r="K151" s="164" t="s">
        <v>602</v>
      </c>
      <c r="L151" s="184" t="s">
        <v>603</v>
      </c>
      <c r="M151" s="187" t="s">
        <v>604</v>
      </c>
      <c r="N151" s="169">
        <v>2</v>
      </c>
      <c r="O151" s="170">
        <v>2</v>
      </c>
      <c r="P151" s="198">
        <v>0</v>
      </c>
      <c r="Q151" s="198">
        <v>0</v>
      </c>
      <c r="R151" s="199">
        <v>0</v>
      </c>
      <c r="S151" s="199">
        <v>0</v>
      </c>
      <c r="T151" s="199">
        <v>0</v>
      </c>
      <c r="U151" s="200">
        <v>0</v>
      </c>
      <c r="V151" s="199">
        <v>0</v>
      </c>
      <c r="W151" s="199">
        <v>0</v>
      </c>
      <c r="X151" s="199">
        <v>0</v>
      </c>
      <c r="Y151" s="201">
        <v>0</v>
      </c>
      <c r="Z151" s="202">
        <v>0</v>
      </c>
      <c r="AA151" s="203">
        <v>0</v>
      </c>
      <c r="AB151" s="198">
        <v>0</v>
      </c>
      <c r="AC151" s="175"/>
      <c r="AD151" s="176" t="s">
        <v>605</v>
      </c>
      <c r="AE151" s="241">
        <v>0.40625</v>
      </c>
      <c r="AF151" s="158" t="s">
        <v>98</v>
      </c>
      <c r="AG151" s="174" t="s">
        <v>99</v>
      </c>
      <c r="AH151" s="159"/>
    </row>
    <row r="152" spans="1:34" s="138" customFormat="1" ht="15.75" x14ac:dyDescent="0.25">
      <c r="A152" s="176">
        <v>46043</v>
      </c>
      <c r="B152" s="184" t="s">
        <v>436</v>
      </c>
      <c r="C152" s="164"/>
      <c r="D152" s="164"/>
      <c r="E152" s="164"/>
      <c r="F152" s="164">
        <v>1</v>
      </c>
      <c r="G152" s="164"/>
      <c r="H152" s="164"/>
      <c r="I152" s="164"/>
      <c r="J152" s="164"/>
      <c r="K152" s="164" t="s">
        <v>437</v>
      </c>
      <c r="L152" s="184" t="s">
        <v>481</v>
      </c>
      <c r="M152" s="187" t="s">
        <v>606</v>
      </c>
      <c r="N152" s="169">
        <v>1</v>
      </c>
      <c r="O152" s="170">
        <v>1</v>
      </c>
      <c r="P152" s="198">
        <v>0</v>
      </c>
      <c r="Q152" s="198">
        <v>0</v>
      </c>
      <c r="R152" s="199">
        <v>0</v>
      </c>
      <c r="S152" s="199">
        <v>0</v>
      </c>
      <c r="T152" s="199">
        <v>0</v>
      </c>
      <c r="U152" s="200">
        <v>0</v>
      </c>
      <c r="V152" s="199">
        <v>0</v>
      </c>
      <c r="W152" s="199">
        <v>0</v>
      </c>
      <c r="X152" s="199">
        <v>0</v>
      </c>
      <c r="Y152" s="201">
        <v>0</v>
      </c>
      <c r="Z152" s="202">
        <v>0</v>
      </c>
      <c r="AA152" s="203">
        <v>0</v>
      </c>
      <c r="AB152" s="198">
        <v>0</v>
      </c>
      <c r="AC152" s="175"/>
      <c r="AD152" s="241">
        <v>0.39583333333333331</v>
      </c>
      <c r="AE152" s="241">
        <v>0.43402777777777773</v>
      </c>
      <c r="AF152" s="158" t="s">
        <v>117</v>
      </c>
      <c r="AG152" s="174" t="s">
        <v>99</v>
      </c>
      <c r="AH152" s="159"/>
    </row>
    <row r="153" spans="1:34" s="138" customFormat="1" ht="15.75" x14ac:dyDescent="0.25">
      <c r="A153" s="176">
        <v>46043</v>
      </c>
      <c r="B153" s="184" t="s">
        <v>510</v>
      </c>
      <c r="C153" s="164"/>
      <c r="D153" s="164"/>
      <c r="E153" s="164"/>
      <c r="F153" s="164">
        <v>8</v>
      </c>
      <c r="G153" s="164"/>
      <c r="H153" s="164"/>
      <c r="I153" s="164"/>
      <c r="J153" s="164"/>
      <c r="K153" s="164" t="s">
        <v>511</v>
      </c>
      <c r="L153" s="184" t="s">
        <v>607</v>
      </c>
      <c r="M153" s="187" t="s">
        <v>608</v>
      </c>
      <c r="N153" s="169">
        <v>8</v>
      </c>
      <c r="O153" s="170">
        <v>8</v>
      </c>
      <c r="P153" s="198">
        <v>0</v>
      </c>
      <c r="Q153" s="198">
        <v>0</v>
      </c>
      <c r="R153" s="199">
        <v>0</v>
      </c>
      <c r="S153" s="199">
        <v>0</v>
      </c>
      <c r="T153" s="199">
        <v>0</v>
      </c>
      <c r="U153" s="200">
        <v>0</v>
      </c>
      <c r="V153" s="199">
        <v>0</v>
      </c>
      <c r="W153" s="199">
        <v>0</v>
      </c>
      <c r="X153" s="199">
        <v>0</v>
      </c>
      <c r="Y153" s="201">
        <v>0</v>
      </c>
      <c r="Z153" s="202">
        <v>0</v>
      </c>
      <c r="AA153" s="203">
        <v>0</v>
      </c>
      <c r="AB153" s="198">
        <v>0</v>
      </c>
      <c r="AC153" s="175"/>
      <c r="AD153" s="241">
        <v>0.3888888888888889</v>
      </c>
      <c r="AE153" s="241">
        <v>0.46875</v>
      </c>
      <c r="AF153" s="158" t="s">
        <v>98</v>
      </c>
      <c r="AG153" s="174" t="s">
        <v>99</v>
      </c>
      <c r="AH153" s="159"/>
    </row>
    <row r="154" spans="1:34" s="138" customFormat="1" ht="15.75" x14ac:dyDescent="0.25">
      <c r="A154" s="176">
        <v>46043</v>
      </c>
      <c r="B154" s="184" t="s">
        <v>609</v>
      </c>
      <c r="C154" s="164"/>
      <c r="D154" s="164"/>
      <c r="E154" s="164"/>
      <c r="F154" s="164">
        <v>2</v>
      </c>
      <c r="G154" s="164"/>
      <c r="H154" s="164"/>
      <c r="I154" s="164"/>
      <c r="J154" s="164"/>
      <c r="K154" s="164" t="s">
        <v>280</v>
      </c>
      <c r="L154" s="184" t="s">
        <v>611</v>
      </c>
      <c r="M154" s="187" t="s">
        <v>612</v>
      </c>
      <c r="N154" s="169">
        <v>2</v>
      </c>
      <c r="O154" s="170">
        <v>2</v>
      </c>
      <c r="P154" s="198">
        <v>0</v>
      </c>
      <c r="Q154" s="198">
        <v>0</v>
      </c>
      <c r="R154" s="199">
        <v>0</v>
      </c>
      <c r="S154" s="199">
        <v>0</v>
      </c>
      <c r="T154" s="199">
        <v>0</v>
      </c>
      <c r="U154" s="200">
        <v>0</v>
      </c>
      <c r="V154" s="199">
        <v>0</v>
      </c>
      <c r="W154" s="199">
        <v>0</v>
      </c>
      <c r="X154" s="199">
        <v>0</v>
      </c>
      <c r="Y154" s="201">
        <v>0</v>
      </c>
      <c r="Z154" s="202">
        <v>0</v>
      </c>
      <c r="AA154" s="203">
        <v>0</v>
      </c>
      <c r="AB154" s="198">
        <v>0</v>
      </c>
      <c r="AC154" s="175"/>
      <c r="AD154" s="241">
        <v>0.52777777777777779</v>
      </c>
      <c r="AE154" s="241">
        <v>0.6875</v>
      </c>
      <c r="AF154" s="158" t="s">
        <v>117</v>
      </c>
      <c r="AG154" s="174" t="s">
        <v>99</v>
      </c>
      <c r="AH154" s="159"/>
    </row>
    <row r="155" spans="1:34" s="138" customFormat="1" ht="15.75" x14ac:dyDescent="0.25">
      <c r="A155" s="176">
        <v>46043</v>
      </c>
      <c r="B155" s="184" t="s">
        <v>610</v>
      </c>
      <c r="C155" s="164"/>
      <c r="D155" s="164"/>
      <c r="E155" s="164"/>
      <c r="F155" s="164">
        <v>2</v>
      </c>
      <c r="G155" s="164"/>
      <c r="H155" s="164"/>
      <c r="I155" s="164"/>
      <c r="J155" s="164"/>
      <c r="K155" s="164" t="s">
        <v>280</v>
      </c>
      <c r="L155" s="184" t="s">
        <v>611</v>
      </c>
      <c r="M155" s="187" t="s">
        <v>613</v>
      </c>
      <c r="N155" s="169">
        <v>2</v>
      </c>
      <c r="O155" s="170">
        <v>2</v>
      </c>
      <c r="P155" s="198">
        <v>0</v>
      </c>
      <c r="Q155" s="198">
        <v>0</v>
      </c>
      <c r="R155" s="199">
        <v>0</v>
      </c>
      <c r="S155" s="199">
        <v>0</v>
      </c>
      <c r="T155" s="199">
        <v>0</v>
      </c>
      <c r="U155" s="200">
        <v>0</v>
      </c>
      <c r="V155" s="199">
        <v>0</v>
      </c>
      <c r="W155" s="199">
        <v>0</v>
      </c>
      <c r="X155" s="199">
        <v>0</v>
      </c>
      <c r="Y155" s="201">
        <v>0</v>
      </c>
      <c r="Z155" s="202">
        <v>0</v>
      </c>
      <c r="AA155" s="203">
        <v>0</v>
      </c>
      <c r="AB155" s="198">
        <v>0</v>
      </c>
      <c r="AC155" s="175"/>
      <c r="AD155" s="241">
        <v>0.42708333333333331</v>
      </c>
      <c r="AE155" s="241">
        <v>0.6875</v>
      </c>
      <c r="AF155" s="158" t="s">
        <v>117</v>
      </c>
      <c r="AG155" s="174" t="s">
        <v>99</v>
      </c>
      <c r="AH155" s="159"/>
    </row>
    <row r="156" spans="1:34" s="138" customFormat="1" ht="15.75" x14ac:dyDescent="0.25">
      <c r="A156" s="176">
        <v>46043</v>
      </c>
      <c r="B156" s="184" t="s">
        <v>614</v>
      </c>
      <c r="C156" s="164"/>
      <c r="D156" s="164">
        <v>1</v>
      </c>
      <c r="E156" s="164">
        <v>1</v>
      </c>
      <c r="F156" s="164"/>
      <c r="G156" s="164"/>
      <c r="H156" s="164"/>
      <c r="I156" s="164"/>
      <c r="J156" s="164"/>
      <c r="K156" s="164" t="s">
        <v>615</v>
      </c>
      <c r="L156" s="184" t="s">
        <v>616</v>
      </c>
      <c r="M156" s="187" t="s">
        <v>617</v>
      </c>
      <c r="N156" s="169">
        <v>1</v>
      </c>
      <c r="O156" s="170">
        <v>1</v>
      </c>
      <c r="P156" s="198">
        <v>0</v>
      </c>
      <c r="Q156" s="198">
        <v>0</v>
      </c>
      <c r="R156" s="199">
        <v>0</v>
      </c>
      <c r="S156" s="199">
        <v>0</v>
      </c>
      <c r="T156" s="199">
        <v>0</v>
      </c>
      <c r="U156" s="200">
        <v>0</v>
      </c>
      <c r="V156" s="199">
        <v>0</v>
      </c>
      <c r="W156" s="199">
        <v>0</v>
      </c>
      <c r="X156" s="199">
        <v>0</v>
      </c>
      <c r="Y156" s="201">
        <v>0</v>
      </c>
      <c r="Z156" s="202">
        <v>0</v>
      </c>
      <c r="AA156" s="203">
        <v>0</v>
      </c>
      <c r="AB156" s="198">
        <v>0</v>
      </c>
      <c r="AC156" s="175"/>
      <c r="AD156" s="241">
        <v>0.59375</v>
      </c>
      <c r="AE156" s="241">
        <v>0.7055555555555556</v>
      </c>
      <c r="AF156" s="158" t="s">
        <v>98</v>
      </c>
      <c r="AG156" s="174" t="s">
        <v>99</v>
      </c>
      <c r="AH156" s="159"/>
    </row>
    <row r="157" spans="1:34" s="138" customFormat="1" ht="15.75" x14ac:dyDescent="0.25">
      <c r="A157" s="176">
        <v>46043</v>
      </c>
      <c r="B157" s="184" t="s">
        <v>471</v>
      </c>
      <c r="C157" s="164"/>
      <c r="D157" s="164"/>
      <c r="E157" s="164"/>
      <c r="F157" s="164"/>
      <c r="G157" s="164"/>
      <c r="H157" s="164">
        <v>1</v>
      </c>
      <c r="I157" s="164"/>
      <c r="J157" s="164"/>
      <c r="K157" s="164" t="s">
        <v>437</v>
      </c>
      <c r="L157" s="184" t="s">
        <v>481</v>
      </c>
      <c r="M157" s="187" t="s">
        <v>618</v>
      </c>
      <c r="N157" s="169">
        <v>1</v>
      </c>
      <c r="O157" s="170">
        <v>1</v>
      </c>
      <c r="P157" s="198">
        <v>0</v>
      </c>
      <c r="Q157" s="198">
        <v>0</v>
      </c>
      <c r="R157" s="199">
        <v>0</v>
      </c>
      <c r="S157" s="199">
        <v>0</v>
      </c>
      <c r="T157" s="199">
        <v>0</v>
      </c>
      <c r="U157" s="200">
        <v>0</v>
      </c>
      <c r="V157" s="199">
        <v>0</v>
      </c>
      <c r="W157" s="199">
        <v>0</v>
      </c>
      <c r="X157" s="199">
        <v>0</v>
      </c>
      <c r="Y157" s="201">
        <v>0</v>
      </c>
      <c r="Z157" s="202">
        <v>0</v>
      </c>
      <c r="AA157" s="203">
        <v>0</v>
      </c>
      <c r="AB157" s="198">
        <v>0</v>
      </c>
      <c r="AC157" s="175"/>
      <c r="AD157" s="241">
        <v>0.57638888888888895</v>
      </c>
      <c r="AE157" s="241">
        <v>0.71875</v>
      </c>
      <c r="AF157" s="158" t="s">
        <v>168</v>
      </c>
      <c r="AG157" s="174" t="s">
        <v>99</v>
      </c>
      <c r="AH157" s="159"/>
    </row>
    <row r="158" spans="1:34" s="138" customFormat="1" ht="15.75" x14ac:dyDescent="0.25">
      <c r="A158" s="176">
        <v>46043</v>
      </c>
      <c r="B158" s="184" t="s">
        <v>619</v>
      </c>
      <c r="C158" s="164"/>
      <c r="D158" s="164"/>
      <c r="E158" s="164"/>
      <c r="F158" s="164">
        <v>2</v>
      </c>
      <c r="G158" s="164"/>
      <c r="H158" s="164"/>
      <c r="I158" s="164"/>
      <c r="J158" s="164"/>
      <c r="K158" s="164" t="s">
        <v>602</v>
      </c>
      <c r="L158" s="184" t="s">
        <v>603</v>
      </c>
      <c r="M158" s="187" t="s">
        <v>620</v>
      </c>
      <c r="N158" s="169">
        <v>2</v>
      </c>
      <c r="O158" s="170">
        <v>2</v>
      </c>
      <c r="P158" s="198">
        <v>0</v>
      </c>
      <c r="Q158" s="198">
        <v>0</v>
      </c>
      <c r="R158" s="199">
        <v>0</v>
      </c>
      <c r="S158" s="199">
        <v>0</v>
      </c>
      <c r="T158" s="199">
        <v>0</v>
      </c>
      <c r="U158" s="200">
        <v>0</v>
      </c>
      <c r="V158" s="199">
        <v>0</v>
      </c>
      <c r="W158" s="199">
        <v>0</v>
      </c>
      <c r="X158" s="199">
        <v>0</v>
      </c>
      <c r="Y158" s="201">
        <v>0</v>
      </c>
      <c r="Z158" s="202">
        <v>0</v>
      </c>
      <c r="AA158" s="203">
        <v>0</v>
      </c>
      <c r="AB158" s="198">
        <v>0</v>
      </c>
      <c r="AC158" s="175"/>
      <c r="AD158" s="241">
        <v>0.61111111111111105</v>
      </c>
      <c r="AE158" s="241">
        <v>0.72222222222222221</v>
      </c>
      <c r="AF158" s="158" t="s">
        <v>98</v>
      </c>
      <c r="AG158" s="174" t="s">
        <v>99</v>
      </c>
      <c r="AH158" s="159"/>
    </row>
    <row r="159" spans="1:34" s="284" customFormat="1" ht="15.75" customHeight="1" x14ac:dyDescent="0.25">
      <c r="A159" s="243">
        <v>46043</v>
      </c>
      <c r="B159" s="247" t="s">
        <v>621</v>
      </c>
      <c r="C159" s="281">
        <v>3</v>
      </c>
      <c r="D159" s="281"/>
      <c r="E159" s="281"/>
      <c r="F159" s="281"/>
      <c r="G159" s="281"/>
      <c r="H159" s="281"/>
      <c r="I159" s="281"/>
      <c r="J159" s="281"/>
      <c r="K159" s="281" t="s">
        <v>622</v>
      </c>
      <c r="L159" s="247" t="s">
        <v>623</v>
      </c>
      <c r="M159" s="248" t="s">
        <v>624</v>
      </c>
      <c r="N159" s="285">
        <v>3</v>
      </c>
      <c r="O159" s="286">
        <v>2</v>
      </c>
      <c r="P159" s="251">
        <v>1</v>
      </c>
      <c r="Q159" s="251">
        <v>0</v>
      </c>
      <c r="R159" s="252">
        <v>1</v>
      </c>
      <c r="S159" s="252">
        <v>0</v>
      </c>
      <c r="T159" s="252">
        <v>0</v>
      </c>
      <c r="U159" s="253">
        <v>0</v>
      </c>
      <c r="V159" s="252">
        <v>0</v>
      </c>
      <c r="W159" s="252">
        <v>0</v>
      </c>
      <c r="X159" s="252">
        <v>0</v>
      </c>
      <c r="Y159" s="254">
        <v>0</v>
      </c>
      <c r="Z159" s="255">
        <v>1</v>
      </c>
      <c r="AA159" s="256">
        <v>0</v>
      </c>
      <c r="AB159" s="251">
        <v>0</v>
      </c>
      <c r="AC159" s="246"/>
      <c r="AD159" s="287">
        <v>0.72222222222222221</v>
      </c>
      <c r="AE159" s="287">
        <v>0.73958333333333337</v>
      </c>
      <c r="AF159" s="288" t="s">
        <v>117</v>
      </c>
      <c r="AG159" s="260" t="s">
        <v>99</v>
      </c>
      <c r="AH159" s="289" t="s">
        <v>835</v>
      </c>
    </row>
    <row r="160" spans="1:34" s="138" customFormat="1" ht="15.75" x14ac:dyDescent="0.25">
      <c r="A160" s="176">
        <v>46044</v>
      </c>
      <c r="B160" s="184" t="s">
        <v>471</v>
      </c>
      <c r="C160" s="164"/>
      <c r="D160" s="164"/>
      <c r="E160" s="164"/>
      <c r="F160" s="164">
        <v>1</v>
      </c>
      <c r="G160" s="164"/>
      <c r="H160" s="164"/>
      <c r="I160" s="164"/>
      <c r="J160" s="164"/>
      <c r="K160" s="164" t="s">
        <v>437</v>
      </c>
      <c r="L160" s="184" t="s">
        <v>468</v>
      </c>
      <c r="M160" s="187" t="s">
        <v>627</v>
      </c>
      <c r="N160" s="169">
        <v>1</v>
      </c>
      <c r="O160" s="170">
        <v>1</v>
      </c>
      <c r="P160" s="198">
        <v>0</v>
      </c>
      <c r="Q160" s="198">
        <v>0</v>
      </c>
      <c r="R160" s="199">
        <v>0</v>
      </c>
      <c r="S160" s="199">
        <v>0</v>
      </c>
      <c r="T160" s="199">
        <v>0</v>
      </c>
      <c r="U160" s="200">
        <v>0</v>
      </c>
      <c r="V160" s="199">
        <v>0</v>
      </c>
      <c r="W160" s="199">
        <v>0</v>
      </c>
      <c r="X160" s="199">
        <v>0</v>
      </c>
      <c r="Y160" s="201">
        <v>0</v>
      </c>
      <c r="Z160" s="202">
        <v>0</v>
      </c>
      <c r="AA160" s="203">
        <v>0</v>
      </c>
      <c r="AB160" s="198">
        <v>0</v>
      </c>
      <c r="AC160" s="175"/>
      <c r="AD160" s="164" t="s">
        <v>628</v>
      </c>
      <c r="AE160" s="241">
        <v>0.3527777777777778</v>
      </c>
      <c r="AF160" s="158" t="s">
        <v>98</v>
      </c>
      <c r="AG160" s="174" t="s">
        <v>99</v>
      </c>
      <c r="AH160" s="159"/>
    </row>
    <row r="161" spans="1:34" s="138" customFormat="1" ht="15.75" x14ac:dyDescent="0.25">
      <c r="A161" s="176">
        <v>46044</v>
      </c>
      <c r="B161" s="184" t="s">
        <v>455</v>
      </c>
      <c r="C161" s="164"/>
      <c r="D161" s="164"/>
      <c r="E161" s="164"/>
      <c r="F161" s="164">
        <v>1</v>
      </c>
      <c r="G161" s="164"/>
      <c r="H161" s="164"/>
      <c r="I161" s="164"/>
      <c r="J161" s="164"/>
      <c r="K161" s="164" t="s">
        <v>437</v>
      </c>
      <c r="L161" s="184" t="s">
        <v>458</v>
      </c>
      <c r="M161" s="187" t="s">
        <v>629</v>
      </c>
      <c r="N161" s="169">
        <v>1</v>
      </c>
      <c r="O161" s="170">
        <v>1</v>
      </c>
      <c r="P161" s="198">
        <v>0</v>
      </c>
      <c r="Q161" s="198">
        <v>0</v>
      </c>
      <c r="R161" s="199">
        <v>0</v>
      </c>
      <c r="S161" s="199">
        <v>0</v>
      </c>
      <c r="T161" s="199">
        <v>0</v>
      </c>
      <c r="U161" s="200">
        <v>0</v>
      </c>
      <c r="V161" s="199">
        <v>0</v>
      </c>
      <c r="W161" s="199">
        <v>0</v>
      </c>
      <c r="X161" s="199">
        <v>0</v>
      </c>
      <c r="Y161" s="201">
        <v>0</v>
      </c>
      <c r="Z161" s="202">
        <v>0</v>
      </c>
      <c r="AA161" s="203">
        <v>0</v>
      </c>
      <c r="AB161" s="198">
        <v>0</v>
      </c>
      <c r="AC161" s="175"/>
      <c r="AD161" s="164" t="s">
        <v>630</v>
      </c>
      <c r="AE161" s="241">
        <v>0.375</v>
      </c>
      <c r="AF161" s="158" t="s">
        <v>98</v>
      </c>
      <c r="AG161" s="174" t="s">
        <v>99</v>
      </c>
      <c r="AH161" s="159"/>
    </row>
    <row r="162" spans="1:34" s="138" customFormat="1" ht="15.75" x14ac:dyDescent="0.25">
      <c r="A162" s="176">
        <v>46044</v>
      </c>
      <c r="B162" s="184" t="s">
        <v>471</v>
      </c>
      <c r="C162" s="164"/>
      <c r="D162" s="164"/>
      <c r="E162" s="164"/>
      <c r="F162" s="164">
        <v>1</v>
      </c>
      <c r="G162" s="164"/>
      <c r="H162" s="164"/>
      <c r="I162" s="164"/>
      <c r="J162" s="164"/>
      <c r="K162" s="164" t="s">
        <v>437</v>
      </c>
      <c r="L162" s="184" t="s">
        <v>458</v>
      </c>
      <c r="M162" s="187" t="s">
        <v>631</v>
      </c>
      <c r="N162" s="169">
        <v>1</v>
      </c>
      <c r="O162" s="170">
        <v>1</v>
      </c>
      <c r="P162" s="198">
        <v>0</v>
      </c>
      <c r="Q162" s="198">
        <v>0</v>
      </c>
      <c r="R162" s="199">
        <v>0</v>
      </c>
      <c r="S162" s="199">
        <v>0</v>
      </c>
      <c r="T162" s="199">
        <v>0</v>
      </c>
      <c r="U162" s="200">
        <v>0</v>
      </c>
      <c r="V162" s="199">
        <v>0</v>
      </c>
      <c r="W162" s="199">
        <v>0</v>
      </c>
      <c r="X162" s="199">
        <v>0</v>
      </c>
      <c r="Y162" s="201">
        <v>0</v>
      </c>
      <c r="Z162" s="202">
        <v>0</v>
      </c>
      <c r="AA162" s="203">
        <v>0</v>
      </c>
      <c r="AB162" s="198">
        <v>0</v>
      </c>
      <c r="AC162" s="175"/>
      <c r="AD162" s="241">
        <v>0.35416666666666669</v>
      </c>
      <c r="AE162" s="241">
        <v>0.44791666666666669</v>
      </c>
      <c r="AF162" s="158" t="s">
        <v>98</v>
      </c>
      <c r="AG162" s="174" t="s">
        <v>99</v>
      </c>
      <c r="AH162" s="159"/>
    </row>
    <row r="163" spans="1:34" s="138" customFormat="1" ht="15.75" x14ac:dyDescent="0.25">
      <c r="A163" s="176">
        <v>46044</v>
      </c>
      <c r="B163" s="184" t="s">
        <v>632</v>
      </c>
      <c r="C163" s="164"/>
      <c r="D163" s="164"/>
      <c r="E163" s="164"/>
      <c r="F163" s="164">
        <v>1</v>
      </c>
      <c r="G163" s="164"/>
      <c r="H163" s="164"/>
      <c r="I163" s="164"/>
      <c r="J163" s="164"/>
      <c r="K163" s="164" t="s">
        <v>633</v>
      </c>
      <c r="L163" s="184" t="s">
        <v>634</v>
      </c>
      <c r="M163" s="187" t="s">
        <v>635</v>
      </c>
      <c r="N163" s="169">
        <v>1</v>
      </c>
      <c r="O163" s="170">
        <v>1</v>
      </c>
      <c r="P163" s="198">
        <v>0</v>
      </c>
      <c r="Q163" s="198">
        <v>0</v>
      </c>
      <c r="R163" s="199">
        <v>0</v>
      </c>
      <c r="S163" s="199">
        <v>0</v>
      </c>
      <c r="T163" s="199">
        <v>0</v>
      </c>
      <c r="U163" s="200">
        <v>0</v>
      </c>
      <c r="V163" s="199">
        <v>0</v>
      </c>
      <c r="W163" s="199">
        <v>0</v>
      </c>
      <c r="X163" s="199">
        <v>0</v>
      </c>
      <c r="Y163" s="201">
        <v>0</v>
      </c>
      <c r="Z163" s="202">
        <v>0</v>
      </c>
      <c r="AA163" s="203">
        <v>0</v>
      </c>
      <c r="AB163" s="198">
        <v>0</v>
      </c>
      <c r="AC163" s="175"/>
      <c r="AD163" s="241">
        <v>0.41666666666666669</v>
      </c>
      <c r="AE163" s="241">
        <v>0.54166666666666663</v>
      </c>
      <c r="AF163" s="158" t="s">
        <v>98</v>
      </c>
      <c r="AG163" s="174" t="s">
        <v>99</v>
      </c>
      <c r="AH163" s="159"/>
    </row>
    <row r="164" spans="1:34" s="138" customFormat="1" ht="15.75" x14ac:dyDescent="0.25">
      <c r="A164" s="176">
        <v>46044</v>
      </c>
      <c r="B164" s="184" t="s">
        <v>636</v>
      </c>
      <c r="C164" s="164"/>
      <c r="D164" s="164"/>
      <c r="E164" s="164"/>
      <c r="F164" s="164">
        <v>1</v>
      </c>
      <c r="G164" s="164"/>
      <c r="H164" s="164"/>
      <c r="I164" s="164"/>
      <c r="J164" s="164"/>
      <c r="K164" s="164" t="s">
        <v>637</v>
      </c>
      <c r="L164" s="184" t="s">
        <v>638</v>
      </c>
      <c r="M164" s="187" t="s">
        <v>639</v>
      </c>
      <c r="N164" s="169">
        <v>1</v>
      </c>
      <c r="O164" s="170">
        <v>1</v>
      </c>
      <c r="P164" s="198">
        <v>0</v>
      </c>
      <c r="Q164" s="198">
        <v>0</v>
      </c>
      <c r="R164" s="199">
        <v>0</v>
      </c>
      <c r="S164" s="199">
        <v>0</v>
      </c>
      <c r="T164" s="199">
        <v>0</v>
      </c>
      <c r="U164" s="200">
        <v>0</v>
      </c>
      <c r="V164" s="199">
        <v>0</v>
      </c>
      <c r="W164" s="199">
        <v>0</v>
      </c>
      <c r="X164" s="199">
        <v>0</v>
      </c>
      <c r="Y164" s="201">
        <v>0</v>
      </c>
      <c r="Z164" s="202">
        <v>0</v>
      </c>
      <c r="AA164" s="203">
        <v>0</v>
      </c>
      <c r="AB164" s="198">
        <v>0</v>
      </c>
      <c r="AC164" s="175"/>
      <c r="AD164" s="241">
        <v>0.60416666666666663</v>
      </c>
      <c r="AE164" s="241">
        <v>0.65625</v>
      </c>
      <c r="AF164" s="158" t="s">
        <v>99</v>
      </c>
      <c r="AG164" s="174" t="s">
        <v>99</v>
      </c>
      <c r="AH164" s="159"/>
    </row>
    <row r="165" spans="1:34" s="138" customFormat="1" ht="15.75" x14ac:dyDescent="0.25">
      <c r="A165" s="176">
        <v>46044</v>
      </c>
      <c r="B165" s="184" t="s">
        <v>659</v>
      </c>
      <c r="C165" s="164"/>
      <c r="D165" s="164"/>
      <c r="E165" s="164"/>
      <c r="F165" s="164"/>
      <c r="G165" s="164"/>
      <c r="H165" s="164"/>
      <c r="I165" s="164">
        <v>2</v>
      </c>
      <c r="J165" s="164"/>
      <c r="K165" s="164" t="s">
        <v>640</v>
      </c>
      <c r="L165" s="184" t="s">
        <v>693</v>
      </c>
      <c r="M165" s="187" t="s">
        <v>698</v>
      </c>
      <c r="N165" s="169">
        <v>2</v>
      </c>
      <c r="O165" s="170">
        <v>2</v>
      </c>
      <c r="P165" s="198">
        <v>0</v>
      </c>
      <c r="Q165" s="198">
        <v>0</v>
      </c>
      <c r="R165" s="199">
        <v>0</v>
      </c>
      <c r="S165" s="199">
        <v>0</v>
      </c>
      <c r="T165" s="199">
        <v>0</v>
      </c>
      <c r="U165" s="200">
        <v>0</v>
      </c>
      <c r="V165" s="199">
        <v>0</v>
      </c>
      <c r="W165" s="199">
        <v>0</v>
      </c>
      <c r="X165" s="199">
        <v>0</v>
      </c>
      <c r="Y165" s="201">
        <v>0</v>
      </c>
      <c r="Z165" s="202">
        <v>0</v>
      </c>
      <c r="AA165" s="203">
        <v>0</v>
      </c>
      <c r="AB165" s="198">
        <v>0</v>
      </c>
      <c r="AC165" s="175"/>
      <c r="AD165" s="241">
        <v>0.62291666666666667</v>
      </c>
      <c r="AE165" s="241">
        <v>0.5083333333333333</v>
      </c>
      <c r="AF165" s="158" t="s">
        <v>117</v>
      </c>
      <c r="AG165" s="174" t="s">
        <v>99</v>
      </c>
      <c r="AH165" s="159"/>
    </row>
    <row r="166" spans="1:34" s="138" customFormat="1" ht="15.75" x14ac:dyDescent="0.25">
      <c r="A166" s="176">
        <v>46044</v>
      </c>
      <c r="B166" s="184" t="s">
        <v>660</v>
      </c>
      <c r="C166" s="164"/>
      <c r="D166" s="164"/>
      <c r="E166" s="164"/>
      <c r="F166" s="164">
        <v>2</v>
      </c>
      <c r="G166" s="164"/>
      <c r="H166" s="164"/>
      <c r="I166" s="164"/>
      <c r="J166" s="164"/>
      <c r="K166" s="164" t="s">
        <v>641</v>
      </c>
      <c r="L166" s="184" t="s">
        <v>694</v>
      </c>
      <c r="M166" s="187" t="s">
        <v>713</v>
      </c>
      <c r="N166" s="169">
        <v>2</v>
      </c>
      <c r="O166" s="170">
        <v>2</v>
      </c>
      <c r="P166" s="198">
        <v>0</v>
      </c>
      <c r="Q166" s="198">
        <v>0</v>
      </c>
      <c r="R166" s="199">
        <v>0</v>
      </c>
      <c r="S166" s="199">
        <v>0</v>
      </c>
      <c r="T166" s="199">
        <v>0</v>
      </c>
      <c r="U166" s="200">
        <v>0</v>
      </c>
      <c r="V166" s="199">
        <v>0</v>
      </c>
      <c r="W166" s="199">
        <v>0</v>
      </c>
      <c r="X166" s="199">
        <v>0</v>
      </c>
      <c r="Y166" s="201">
        <v>0</v>
      </c>
      <c r="Z166" s="202">
        <v>0</v>
      </c>
      <c r="AA166" s="203">
        <v>0</v>
      </c>
      <c r="AB166" s="198">
        <v>0</v>
      </c>
      <c r="AC166" s="175"/>
      <c r="AD166" s="164" t="s">
        <v>642</v>
      </c>
      <c r="AE166" s="241">
        <v>0.70138888888888884</v>
      </c>
      <c r="AF166" s="158" t="s">
        <v>98</v>
      </c>
      <c r="AG166" s="174" t="s">
        <v>99</v>
      </c>
      <c r="AH166" s="159"/>
    </row>
    <row r="167" spans="1:34" s="100" customFormat="1" ht="15.75" x14ac:dyDescent="0.25">
      <c r="A167" s="176">
        <v>46044</v>
      </c>
      <c r="B167" s="276" t="s">
        <v>661</v>
      </c>
      <c r="C167" s="160"/>
      <c r="D167" s="160"/>
      <c r="E167" s="160"/>
      <c r="F167" s="160">
        <v>1</v>
      </c>
      <c r="G167" s="160"/>
      <c r="H167" s="160"/>
      <c r="I167" s="160"/>
      <c r="J167" s="160"/>
      <c r="K167" s="160" t="s">
        <v>641</v>
      </c>
      <c r="L167" s="276" t="s">
        <v>694</v>
      </c>
      <c r="M167" s="277" t="s">
        <v>714</v>
      </c>
      <c r="N167" s="161">
        <v>1</v>
      </c>
      <c r="O167" s="162">
        <v>1</v>
      </c>
      <c r="P167" s="198">
        <v>0</v>
      </c>
      <c r="Q167" s="198">
        <v>0</v>
      </c>
      <c r="R167" s="199">
        <v>0</v>
      </c>
      <c r="S167" s="199">
        <v>0</v>
      </c>
      <c r="T167" s="199">
        <v>0</v>
      </c>
      <c r="U167" s="200">
        <v>0</v>
      </c>
      <c r="V167" s="199">
        <v>0</v>
      </c>
      <c r="W167" s="199">
        <v>0</v>
      </c>
      <c r="X167" s="199">
        <v>0</v>
      </c>
      <c r="Y167" s="201">
        <v>0</v>
      </c>
      <c r="Z167" s="202">
        <v>0</v>
      </c>
      <c r="AA167" s="203">
        <v>0</v>
      </c>
      <c r="AB167" s="198">
        <v>0</v>
      </c>
      <c r="AC167" s="175"/>
      <c r="AD167" s="266">
        <v>0.68055555555555547</v>
      </c>
      <c r="AE167" s="266">
        <v>0.71527777777777779</v>
      </c>
      <c r="AF167" s="111" t="s">
        <v>98</v>
      </c>
      <c r="AG167" s="174" t="s">
        <v>99</v>
      </c>
      <c r="AH167" s="154"/>
    </row>
    <row r="168" spans="1:34" s="100" customFormat="1" ht="15.75" x14ac:dyDescent="0.25">
      <c r="A168" s="176">
        <v>46045</v>
      </c>
      <c r="B168" s="276" t="s">
        <v>662</v>
      </c>
      <c r="C168" s="160"/>
      <c r="D168" s="160"/>
      <c r="E168" s="160"/>
      <c r="F168" s="160">
        <v>12</v>
      </c>
      <c r="G168" s="160"/>
      <c r="H168" s="160"/>
      <c r="I168" s="160"/>
      <c r="J168" s="160"/>
      <c r="K168" s="160" t="s">
        <v>511</v>
      </c>
      <c r="L168" s="276" t="s">
        <v>695</v>
      </c>
      <c r="M168" s="277" t="s">
        <v>715</v>
      </c>
      <c r="N168" s="161">
        <v>12</v>
      </c>
      <c r="O168" s="162">
        <v>12</v>
      </c>
      <c r="P168" s="198">
        <v>0</v>
      </c>
      <c r="Q168" s="198">
        <v>0</v>
      </c>
      <c r="R168" s="199">
        <v>0</v>
      </c>
      <c r="S168" s="199">
        <v>0</v>
      </c>
      <c r="T168" s="199">
        <v>0</v>
      </c>
      <c r="U168" s="200">
        <v>0</v>
      </c>
      <c r="V168" s="199">
        <v>0</v>
      </c>
      <c r="W168" s="199">
        <v>0</v>
      </c>
      <c r="X168" s="199">
        <v>0</v>
      </c>
      <c r="Y168" s="201">
        <v>0</v>
      </c>
      <c r="Z168" s="202">
        <v>0</v>
      </c>
      <c r="AA168" s="203">
        <v>0</v>
      </c>
      <c r="AB168" s="198">
        <v>0</v>
      </c>
      <c r="AC168" s="175">
        <v>22</v>
      </c>
      <c r="AD168" s="266">
        <v>0.50347222222222221</v>
      </c>
      <c r="AE168" s="266">
        <v>0.34375</v>
      </c>
      <c r="AF168" s="111" t="s">
        <v>98</v>
      </c>
      <c r="AG168" s="174" t="s">
        <v>99</v>
      </c>
      <c r="AH168" s="154"/>
    </row>
    <row r="169" spans="1:34" s="284" customFormat="1" ht="15.75" x14ac:dyDescent="0.25">
      <c r="A169" s="243">
        <v>46045</v>
      </c>
      <c r="B169" s="247" t="s">
        <v>663</v>
      </c>
      <c r="C169" s="281"/>
      <c r="D169" s="281"/>
      <c r="E169" s="281"/>
      <c r="F169" s="281">
        <v>6</v>
      </c>
      <c r="G169" s="281"/>
      <c r="H169" s="281"/>
      <c r="I169" s="281"/>
      <c r="J169" s="281"/>
      <c r="K169" s="281" t="s">
        <v>511</v>
      </c>
      <c r="L169" s="247" t="s">
        <v>536</v>
      </c>
      <c r="M169" s="248" t="s">
        <v>716</v>
      </c>
      <c r="N169" s="285">
        <v>6</v>
      </c>
      <c r="O169" s="286">
        <v>4</v>
      </c>
      <c r="P169" s="251">
        <v>2</v>
      </c>
      <c r="Q169" s="251">
        <v>0</v>
      </c>
      <c r="R169" s="252">
        <v>2</v>
      </c>
      <c r="S169" s="252">
        <v>0</v>
      </c>
      <c r="T169" s="252">
        <v>0</v>
      </c>
      <c r="U169" s="253">
        <v>0</v>
      </c>
      <c r="V169" s="252">
        <v>0</v>
      </c>
      <c r="W169" s="252">
        <v>0</v>
      </c>
      <c r="X169" s="252">
        <v>0</v>
      </c>
      <c r="Y169" s="254">
        <v>0</v>
      </c>
      <c r="Z169" s="255">
        <v>2</v>
      </c>
      <c r="AA169" s="256">
        <v>0</v>
      </c>
      <c r="AB169" s="251">
        <v>0</v>
      </c>
      <c r="AC169" s="246"/>
      <c r="AD169" s="287">
        <v>0.375</v>
      </c>
      <c r="AE169" s="287">
        <v>0.4548611111111111</v>
      </c>
      <c r="AF169" s="288" t="s">
        <v>98</v>
      </c>
      <c r="AG169" s="260" t="s">
        <v>99</v>
      </c>
      <c r="AH169" s="289" t="s">
        <v>838</v>
      </c>
    </row>
    <row r="170" spans="1:34" s="100" customFormat="1" ht="15.75" x14ac:dyDescent="0.25">
      <c r="A170" s="176">
        <v>46045</v>
      </c>
      <c r="B170" s="276" t="s">
        <v>664</v>
      </c>
      <c r="C170" s="160"/>
      <c r="D170" s="160"/>
      <c r="E170" s="160"/>
      <c r="F170" s="160">
        <v>2</v>
      </c>
      <c r="G170" s="160"/>
      <c r="H170" s="160"/>
      <c r="I170" s="160"/>
      <c r="J170" s="160"/>
      <c r="K170" s="160" t="s">
        <v>643</v>
      </c>
      <c r="L170" s="276" t="s">
        <v>696</v>
      </c>
      <c r="M170" s="277" t="s">
        <v>717</v>
      </c>
      <c r="N170" s="161">
        <v>2</v>
      </c>
      <c r="O170" s="162">
        <v>2</v>
      </c>
      <c r="P170" s="198">
        <v>0</v>
      </c>
      <c r="Q170" s="198">
        <v>0</v>
      </c>
      <c r="R170" s="199">
        <v>0</v>
      </c>
      <c r="S170" s="199">
        <v>0</v>
      </c>
      <c r="T170" s="199">
        <v>0</v>
      </c>
      <c r="U170" s="200">
        <v>0</v>
      </c>
      <c r="V170" s="199">
        <v>0</v>
      </c>
      <c r="W170" s="199">
        <v>0</v>
      </c>
      <c r="X170" s="199">
        <v>0</v>
      </c>
      <c r="Y170" s="201">
        <v>0</v>
      </c>
      <c r="Z170" s="202">
        <v>0</v>
      </c>
      <c r="AA170" s="203">
        <v>0</v>
      </c>
      <c r="AB170" s="198">
        <v>0</v>
      </c>
      <c r="AC170" s="175">
        <v>22</v>
      </c>
      <c r="AD170" s="266">
        <v>0.75</v>
      </c>
      <c r="AE170" s="266">
        <v>0.46527777777777773</v>
      </c>
      <c r="AF170" s="111" t="s">
        <v>168</v>
      </c>
      <c r="AG170" s="174" t="s">
        <v>99</v>
      </c>
      <c r="AH170" s="154" t="s">
        <v>644</v>
      </c>
    </row>
    <row r="171" spans="1:34" s="100" customFormat="1" ht="15.75" x14ac:dyDescent="0.25">
      <c r="A171" s="176">
        <v>46045</v>
      </c>
      <c r="B171" s="276" t="s">
        <v>455</v>
      </c>
      <c r="C171" s="160"/>
      <c r="D171" s="160"/>
      <c r="E171" s="160"/>
      <c r="F171" s="160">
        <v>1</v>
      </c>
      <c r="G171" s="160"/>
      <c r="H171" s="160"/>
      <c r="I171" s="160"/>
      <c r="J171" s="160"/>
      <c r="K171" s="160" t="s">
        <v>437</v>
      </c>
      <c r="L171" s="276" t="s">
        <v>468</v>
      </c>
      <c r="M171" s="277" t="s">
        <v>718</v>
      </c>
      <c r="N171" s="161">
        <v>1</v>
      </c>
      <c r="O171" s="162">
        <v>1</v>
      </c>
      <c r="P171" s="198">
        <v>0</v>
      </c>
      <c r="Q171" s="198">
        <v>0</v>
      </c>
      <c r="R171" s="199">
        <v>0</v>
      </c>
      <c r="S171" s="199">
        <v>0</v>
      </c>
      <c r="T171" s="199">
        <v>0</v>
      </c>
      <c r="U171" s="200">
        <v>0</v>
      </c>
      <c r="V171" s="199">
        <v>0</v>
      </c>
      <c r="W171" s="199">
        <v>0</v>
      </c>
      <c r="X171" s="199">
        <v>0</v>
      </c>
      <c r="Y171" s="201">
        <v>0</v>
      </c>
      <c r="Z171" s="202">
        <v>0</v>
      </c>
      <c r="AA171" s="203">
        <v>0</v>
      </c>
      <c r="AB171" s="198">
        <v>0</v>
      </c>
      <c r="AC171" s="175"/>
      <c r="AD171" s="266">
        <v>0.375</v>
      </c>
      <c r="AE171" s="266">
        <v>0.52638888888888891</v>
      </c>
      <c r="AF171" s="111" t="s">
        <v>98</v>
      </c>
      <c r="AG171" s="174" t="s">
        <v>99</v>
      </c>
      <c r="AH171" s="154"/>
    </row>
    <row r="172" spans="1:34" s="100" customFormat="1" ht="15.75" x14ac:dyDescent="0.25">
      <c r="A172" s="267">
        <v>46045</v>
      </c>
      <c r="B172" s="276" t="s">
        <v>665</v>
      </c>
      <c r="C172" s="160"/>
      <c r="D172" s="160"/>
      <c r="E172" s="160"/>
      <c r="F172" s="160">
        <v>2</v>
      </c>
      <c r="G172" s="160"/>
      <c r="H172" s="160"/>
      <c r="I172" s="160"/>
      <c r="J172" s="160"/>
      <c r="K172" s="160" t="s">
        <v>645</v>
      </c>
      <c r="L172" s="276" t="s">
        <v>697</v>
      </c>
      <c r="M172" s="277" t="s">
        <v>719</v>
      </c>
      <c r="N172" s="161">
        <v>2</v>
      </c>
      <c r="O172" s="162">
        <v>2</v>
      </c>
      <c r="P172" s="198">
        <v>0</v>
      </c>
      <c r="Q172" s="198">
        <v>0</v>
      </c>
      <c r="R172" s="199">
        <v>0</v>
      </c>
      <c r="S172" s="199">
        <v>0</v>
      </c>
      <c r="T172" s="199">
        <v>0</v>
      </c>
      <c r="U172" s="200">
        <v>0</v>
      </c>
      <c r="V172" s="199">
        <v>0</v>
      </c>
      <c r="W172" s="199">
        <v>0</v>
      </c>
      <c r="X172" s="199">
        <v>0</v>
      </c>
      <c r="Y172" s="201">
        <v>0</v>
      </c>
      <c r="Z172" s="202">
        <v>0</v>
      </c>
      <c r="AA172" s="203">
        <v>0</v>
      </c>
      <c r="AB172" s="198">
        <v>0</v>
      </c>
      <c r="AC172" s="175"/>
      <c r="AD172" s="266">
        <v>0.47222222222222227</v>
      </c>
      <c r="AE172" s="266">
        <v>0.54722222222222217</v>
      </c>
      <c r="AF172" s="111" t="s">
        <v>98</v>
      </c>
      <c r="AG172" s="174" t="s">
        <v>99</v>
      </c>
      <c r="AH172" s="154"/>
    </row>
    <row r="173" spans="1:34" s="100" customFormat="1" ht="15.75" x14ac:dyDescent="0.25">
      <c r="A173" s="267">
        <v>46045</v>
      </c>
      <c r="B173" s="276" t="s">
        <v>124</v>
      </c>
      <c r="C173" s="160"/>
      <c r="D173" s="160"/>
      <c r="E173" s="160"/>
      <c r="F173" s="160">
        <v>1</v>
      </c>
      <c r="G173" s="160"/>
      <c r="H173" s="160"/>
      <c r="I173" s="160"/>
      <c r="J173" s="160"/>
      <c r="K173" s="160" t="s">
        <v>125</v>
      </c>
      <c r="L173" s="276" t="s">
        <v>688</v>
      </c>
      <c r="M173" s="277" t="s">
        <v>720</v>
      </c>
      <c r="N173" s="161">
        <v>1</v>
      </c>
      <c r="O173" s="162">
        <v>1</v>
      </c>
      <c r="P173" s="198">
        <v>0</v>
      </c>
      <c r="Q173" s="198">
        <v>0</v>
      </c>
      <c r="R173" s="199">
        <v>0</v>
      </c>
      <c r="S173" s="199">
        <v>0</v>
      </c>
      <c r="T173" s="199">
        <v>0</v>
      </c>
      <c r="U173" s="200">
        <v>0</v>
      </c>
      <c r="V173" s="199">
        <v>0</v>
      </c>
      <c r="W173" s="199">
        <v>0</v>
      </c>
      <c r="X173" s="199">
        <v>0</v>
      </c>
      <c r="Y173" s="201">
        <v>0</v>
      </c>
      <c r="Z173" s="202">
        <v>0</v>
      </c>
      <c r="AA173" s="203">
        <v>0</v>
      </c>
      <c r="AB173" s="198">
        <v>0</v>
      </c>
      <c r="AC173" s="175"/>
      <c r="AD173" s="266">
        <v>0.37708333333333338</v>
      </c>
      <c r="AE173" s="266">
        <v>0.57638888888888895</v>
      </c>
      <c r="AF173" s="111" t="s">
        <v>98</v>
      </c>
      <c r="AG173" s="174" t="s">
        <v>99</v>
      </c>
      <c r="AH173" s="154"/>
    </row>
    <row r="174" spans="1:34" s="100" customFormat="1" ht="15.75" x14ac:dyDescent="0.25">
      <c r="A174" s="267">
        <v>46045</v>
      </c>
      <c r="B174" s="276" t="s">
        <v>666</v>
      </c>
      <c r="C174" s="160"/>
      <c r="D174" s="160">
        <v>2</v>
      </c>
      <c r="E174" s="160"/>
      <c r="F174" s="160"/>
      <c r="G174" s="160"/>
      <c r="H174" s="160"/>
      <c r="I174" s="160"/>
      <c r="J174" s="160"/>
      <c r="K174" s="160" t="s">
        <v>646</v>
      </c>
      <c r="L174" s="276" t="s">
        <v>692</v>
      </c>
      <c r="M174" s="277" t="s">
        <v>721</v>
      </c>
      <c r="N174" s="161">
        <v>2</v>
      </c>
      <c r="O174" s="162">
        <v>2</v>
      </c>
      <c r="P174" s="198">
        <v>0</v>
      </c>
      <c r="Q174" s="198">
        <v>0</v>
      </c>
      <c r="R174" s="199">
        <v>0</v>
      </c>
      <c r="S174" s="199">
        <v>0</v>
      </c>
      <c r="T174" s="199">
        <v>0</v>
      </c>
      <c r="U174" s="200">
        <v>0</v>
      </c>
      <c r="V174" s="199">
        <v>0</v>
      </c>
      <c r="W174" s="199">
        <v>0</v>
      </c>
      <c r="X174" s="199">
        <v>0</v>
      </c>
      <c r="Y174" s="201">
        <v>0</v>
      </c>
      <c r="Z174" s="202">
        <v>0</v>
      </c>
      <c r="AA174" s="203">
        <v>0</v>
      </c>
      <c r="AB174" s="198">
        <v>0</v>
      </c>
      <c r="AC174" s="175">
        <v>21</v>
      </c>
      <c r="AD174" s="266">
        <v>0.74375000000000002</v>
      </c>
      <c r="AE174" s="266">
        <v>0.65972222222222221</v>
      </c>
      <c r="AF174" s="111" t="s">
        <v>117</v>
      </c>
      <c r="AG174" s="174" t="s">
        <v>99</v>
      </c>
      <c r="AH174" s="154" t="s">
        <v>647</v>
      </c>
    </row>
    <row r="175" spans="1:34" s="100" customFormat="1" ht="15.75" x14ac:dyDescent="0.25">
      <c r="A175" s="267">
        <v>46045</v>
      </c>
      <c r="B175" s="276" t="s">
        <v>667</v>
      </c>
      <c r="C175" s="160"/>
      <c r="D175" s="160"/>
      <c r="E175" s="160"/>
      <c r="F175" s="160"/>
      <c r="G175" s="160"/>
      <c r="H175" s="160"/>
      <c r="I175" s="160">
        <v>2</v>
      </c>
      <c r="J175" s="160"/>
      <c r="K175" s="160" t="s">
        <v>648</v>
      </c>
      <c r="L175" s="276" t="s">
        <v>691</v>
      </c>
      <c r="M175" s="277" t="s">
        <v>722</v>
      </c>
      <c r="N175" s="161">
        <v>2</v>
      </c>
      <c r="O175" s="162">
        <v>2</v>
      </c>
      <c r="P175" s="198">
        <v>0</v>
      </c>
      <c r="Q175" s="198">
        <v>0</v>
      </c>
      <c r="R175" s="199">
        <v>0</v>
      </c>
      <c r="S175" s="199">
        <v>0</v>
      </c>
      <c r="T175" s="199">
        <v>0</v>
      </c>
      <c r="U175" s="200">
        <v>0</v>
      </c>
      <c r="V175" s="199">
        <v>0</v>
      </c>
      <c r="W175" s="199">
        <v>0</v>
      </c>
      <c r="X175" s="199">
        <v>0</v>
      </c>
      <c r="Y175" s="201">
        <v>0</v>
      </c>
      <c r="Z175" s="202">
        <v>0</v>
      </c>
      <c r="AA175" s="203">
        <v>0</v>
      </c>
      <c r="AB175" s="198">
        <v>0</v>
      </c>
      <c r="AC175" s="175"/>
      <c r="AD175" s="160"/>
      <c r="AE175" s="160"/>
      <c r="AF175" s="111" t="s">
        <v>117</v>
      </c>
      <c r="AG175" s="174" t="s">
        <v>99</v>
      </c>
      <c r="AH175" s="154"/>
    </row>
    <row r="176" spans="1:34" s="100" customFormat="1" ht="15.75" x14ac:dyDescent="0.25">
      <c r="A176" s="267">
        <v>46046</v>
      </c>
      <c r="B176" s="276" t="s">
        <v>668</v>
      </c>
      <c r="C176" s="160"/>
      <c r="D176" s="160"/>
      <c r="E176" s="160"/>
      <c r="F176" s="160">
        <v>2</v>
      </c>
      <c r="G176" s="160"/>
      <c r="H176" s="160"/>
      <c r="I176" s="160"/>
      <c r="J176" s="160"/>
      <c r="K176" s="160" t="s">
        <v>649</v>
      </c>
      <c r="L176" s="276" t="s">
        <v>690</v>
      </c>
      <c r="M176" s="277" t="s">
        <v>723</v>
      </c>
      <c r="N176" s="161">
        <v>2</v>
      </c>
      <c r="O176" s="162">
        <v>2</v>
      </c>
      <c r="P176" s="198">
        <v>0</v>
      </c>
      <c r="Q176" s="198">
        <v>0</v>
      </c>
      <c r="R176" s="199">
        <v>0</v>
      </c>
      <c r="S176" s="199">
        <v>0</v>
      </c>
      <c r="T176" s="199">
        <v>0</v>
      </c>
      <c r="U176" s="200">
        <v>0</v>
      </c>
      <c r="V176" s="199">
        <v>0</v>
      </c>
      <c r="W176" s="199">
        <v>0</v>
      </c>
      <c r="X176" s="199">
        <v>0</v>
      </c>
      <c r="Y176" s="201">
        <v>0</v>
      </c>
      <c r="Z176" s="202">
        <v>0</v>
      </c>
      <c r="AA176" s="203">
        <v>0</v>
      </c>
      <c r="AB176" s="198">
        <v>0</v>
      </c>
      <c r="AC176" s="175">
        <v>19</v>
      </c>
      <c r="AD176" s="266">
        <v>0.6166666666666667</v>
      </c>
      <c r="AE176" s="266">
        <v>0.4236111111111111</v>
      </c>
      <c r="AF176" s="111" t="s">
        <v>117</v>
      </c>
      <c r="AG176" s="174" t="s">
        <v>99</v>
      </c>
      <c r="AH176" s="154"/>
    </row>
    <row r="177" spans="1:34" s="100" customFormat="1" ht="15.75" x14ac:dyDescent="0.25">
      <c r="A177" s="267">
        <v>46046</v>
      </c>
      <c r="B177" s="276" t="s">
        <v>678</v>
      </c>
      <c r="C177" s="160"/>
      <c r="D177" s="160">
        <v>1</v>
      </c>
      <c r="E177" s="160"/>
      <c r="F177" s="160"/>
      <c r="G177" s="160"/>
      <c r="H177" s="160"/>
      <c r="I177" s="160"/>
      <c r="J177" s="160"/>
      <c r="K177" s="160" t="s">
        <v>650</v>
      </c>
      <c r="L177" s="276" t="s">
        <v>689</v>
      </c>
      <c r="M177" s="277" t="s">
        <v>712</v>
      </c>
      <c r="N177" s="161">
        <v>1</v>
      </c>
      <c r="O177" s="162">
        <v>1</v>
      </c>
      <c r="P177" s="198">
        <v>0</v>
      </c>
      <c r="Q177" s="198">
        <v>0</v>
      </c>
      <c r="R177" s="199">
        <v>0</v>
      </c>
      <c r="S177" s="199">
        <v>0</v>
      </c>
      <c r="T177" s="199">
        <v>0</v>
      </c>
      <c r="U177" s="200">
        <v>0</v>
      </c>
      <c r="V177" s="199">
        <v>0</v>
      </c>
      <c r="W177" s="199">
        <v>0</v>
      </c>
      <c r="X177" s="199">
        <v>0</v>
      </c>
      <c r="Y177" s="201">
        <v>0</v>
      </c>
      <c r="Z177" s="202">
        <v>0</v>
      </c>
      <c r="AA177" s="203">
        <v>0</v>
      </c>
      <c r="AB177" s="198">
        <v>0</v>
      </c>
      <c r="AC177" s="175">
        <v>23</v>
      </c>
      <c r="AD177" s="266">
        <v>0.42083333333333334</v>
      </c>
      <c r="AE177" s="266">
        <v>0.46527777777777773</v>
      </c>
      <c r="AF177" s="111" t="s">
        <v>117</v>
      </c>
      <c r="AG177" s="174" t="s">
        <v>99</v>
      </c>
      <c r="AH177" s="154"/>
    </row>
    <row r="178" spans="1:34" s="100" customFormat="1" ht="15.75" x14ac:dyDescent="0.25">
      <c r="A178" s="267">
        <v>46048</v>
      </c>
      <c r="B178" s="276" t="s">
        <v>133</v>
      </c>
      <c r="C178" s="160"/>
      <c r="D178" s="160"/>
      <c r="E178" s="160"/>
      <c r="F178" s="160">
        <v>2</v>
      </c>
      <c r="G178" s="160"/>
      <c r="H178" s="160"/>
      <c r="I178" s="160"/>
      <c r="J178" s="160"/>
      <c r="K178" s="160" t="s">
        <v>134</v>
      </c>
      <c r="L178" s="276" t="s">
        <v>684</v>
      </c>
      <c r="M178" s="277" t="s">
        <v>711</v>
      </c>
      <c r="N178" s="161">
        <v>2</v>
      </c>
      <c r="O178" s="162">
        <v>2</v>
      </c>
      <c r="P178" s="198">
        <v>0</v>
      </c>
      <c r="Q178" s="198">
        <v>0</v>
      </c>
      <c r="R178" s="199">
        <v>0</v>
      </c>
      <c r="S178" s="199">
        <v>0</v>
      </c>
      <c r="T178" s="199">
        <v>0</v>
      </c>
      <c r="U178" s="200">
        <v>0</v>
      </c>
      <c r="V178" s="199">
        <v>0</v>
      </c>
      <c r="W178" s="199">
        <v>0</v>
      </c>
      <c r="X178" s="199">
        <v>0</v>
      </c>
      <c r="Y178" s="201">
        <v>0</v>
      </c>
      <c r="Z178" s="202">
        <v>0</v>
      </c>
      <c r="AA178" s="203">
        <v>0</v>
      </c>
      <c r="AB178" s="198">
        <v>0</v>
      </c>
      <c r="AC178" s="175">
        <v>24</v>
      </c>
      <c r="AD178" s="266">
        <v>0.4513888888888889</v>
      </c>
      <c r="AE178" s="266">
        <v>0.3666666666666667</v>
      </c>
      <c r="AF178" s="111" t="s">
        <v>98</v>
      </c>
      <c r="AG178" s="174" t="s">
        <v>99</v>
      </c>
      <c r="AH178" s="154"/>
    </row>
    <row r="179" spans="1:34" s="138" customFormat="1" ht="15.75" x14ac:dyDescent="0.25">
      <c r="A179" s="176">
        <v>46048</v>
      </c>
      <c r="B179" s="184" t="s">
        <v>677</v>
      </c>
      <c r="C179" s="164"/>
      <c r="D179" s="164"/>
      <c r="E179" s="164"/>
      <c r="F179" s="164">
        <v>1</v>
      </c>
      <c r="G179" s="164"/>
      <c r="H179" s="164"/>
      <c r="I179" s="164"/>
      <c r="J179" s="164"/>
      <c r="K179" s="164" t="s">
        <v>125</v>
      </c>
      <c r="L179" s="184" t="s">
        <v>688</v>
      </c>
      <c r="M179" s="187" t="s">
        <v>710</v>
      </c>
      <c r="N179" s="169">
        <v>1</v>
      </c>
      <c r="O179" s="170">
        <v>1</v>
      </c>
      <c r="P179" s="198">
        <v>0</v>
      </c>
      <c r="Q179" s="198">
        <v>0</v>
      </c>
      <c r="R179" s="199">
        <v>0</v>
      </c>
      <c r="S179" s="199">
        <v>0</v>
      </c>
      <c r="T179" s="199">
        <v>0</v>
      </c>
      <c r="U179" s="200">
        <v>0</v>
      </c>
      <c r="V179" s="199">
        <v>0</v>
      </c>
      <c r="W179" s="199">
        <v>0</v>
      </c>
      <c r="X179" s="199">
        <v>0</v>
      </c>
      <c r="Y179" s="201">
        <v>0</v>
      </c>
      <c r="Z179" s="202">
        <v>0</v>
      </c>
      <c r="AA179" s="203">
        <v>0</v>
      </c>
      <c r="AB179" s="198">
        <v>0</v>
      </c>
      <c r="AC179" s="175">
        <v>23</v>
      </c>
      <c r="AD179" s="241">
        <v>0.68472222222222223</v>
      </c>
      <c r="AE179" s="241">
        <v>0.375</v>
      </c>
      <c r="AF179" s="158" t="s">
        <v>98</v>
      </c>
      <c r="AG179" s="174" t="s">
        <v>99</v>
      </c>
      <c r="AH179" s="159" t="s">
        <v>651</v>
      </c>
    </row>
    <row r="180" spans="1:34" s="100" customFormat="1" ht="15.75" x14ac:dyDescent="0.25">
      <c r="A180" s="267">
        <v>46048</v>
      </c>
      <c r="B180" s="276" t="s">
        <v>436</v>
      </c>
      <c r="C180" s="160"/>
      <c r="D180" s="160"/>
      <c r="E180" s="160"/>
      <c r="F180" s="160">
        <v>1</v>
      </c>
      <c r="G180" s="160"/>
      <c r="H180" s="160"/>
      <c r="I180" s="160"/>
      <c r="J180" s="160"/>
      <c r="K180" s="160" t="s">
        <v>437</v>
      </c>
      <c r="L180" s="276" t="s">
        <v>458</v>
      </c>
      <c r="M180" s="277" t="s">
        <v>709</v>
      </c>
      <c r="N180" s="161">
        <v>1</v>
      </c>
      <c r="O180" s="162">
        <v>1</v>
      </c>
      <c r="P180" s="198">
        <v>0</v>
      </c>
      <c r="Q180" s="198">
        <v>0</v>
      </c>
      <c r="R180" s="199">
        <v>0</v>
      </c>
      <c r="S180" s="199">
        <v>0</v>
      </c>
      <c r="T180" s="199">
        <v>0</v>
      </c>
      <c r="U180" s="200">
        <v>0</v>
      </c>
      <c r="V180" s="199">
        <v>0</v>
      </c>
      <c r="W180" s="199">
        <v>0</v>
      </c>
      <c r="X180" s="199">
        <v>0</v>
      </c>
      <c r="Y180" s="201">
        <v>0</v>
      </c>
      <c r="Z180" s="202">
        <v>0</v>
      </c>
      <c r="AA180" s="203">
        <v>0</v>
      </c>
      <c r="AB180" s="198">
        <v>0</v>
      </c>
      <c r="AC180" s="175"/>
      <c r="AD180" s="241">
        <v>0.35416666666666669</v>
      </c>
      <c r="AE180" s="266">
        <v>0.39583333333333331</v>
      </c>
      <c r="AF180" s="111" t="s">
        <v>98</v>
      </c>
      <c r="AG180" s="174" t="s">
        <v>99</v>
      </c>
      <c r="AH180" s="154"/>
    </row>
    <row r="181" spans="1:34" s="100" customFormat="1" ht="15.75" x14ac:dyDescent="0.25">
      <c r="A181" s="267">
        <v>46048</v>
      </c>
      <c r="B181" s="276" t="s">
        <v>676</v>
      </c>
      <c r="C181" s="160"/>
      <c r="D181" s="160"/>
      <c r="E181" s="160"/>
      <c r="F181" s="160">
        <v>1</v>
      </c>
      <c r="G181" s="160"/>
      <c r="H181" s="160"/>
      <c r="I181" s="160"/>
      <c r="J181" s="160"/>
      <c r="K181" s="160" t="s">
        <v>125</v>
      </c>
      <c r="L181" s="276" t="s">
        <v>688</v>
      </c>
      <c r="M181" s="277" t="s">
        <v>708</v>
      </c>
      <c r="N181" s="161">
        <v>1</v>
      </c>
      <c r="O181" s="162">
        <v>1</v>
      </c>
      <c r="P181" s="198">
        <v>0</v>
      </c>
      <c r="Q181" s="198">
        <v>0</v>
      </c>
      <c r="R181" s="199">
        <v>0</v>
      </c>
      <c r="S181" s="199">
        <v>0</v>
      </c>
      <c r="T181" s="199">
        <v>0</v>
      </c>
      <c r="U181" s="200">
        <v>0</v>
      </c>
      <c r="V181" s="199">
        <v>0</v>
      </c>
      <c r="W181" s="199">
        <v>0</v>
      </c>
      <c r="X181" s="199">
        <v>0</v>
      </c>
      <c r="Y181" s="201">
        <v>0</v>
      </c>
      <c r="Z181" s="202">
        <v>0</v>
      </c>
      <c r="AA181" s="203">
        <v>0</v>
      </c>
      <c r="AB181" s="198">
        <v>0</v>
      </c>
      <c r="AC181" s="175"/>
      <c r="AD181" s="266">
        <v>0.47222222222222227</v>
      </c>
      <c r="AE181" s="266">
        <v>0.5805555555555556</v>
      </c>
      <c r="AF181" s="111" t="s">
        <v>98</v>
      </c>
      <c r="AG181" s="174" t="s">
        <v>99</v>
      </c>
      <c r="AH181" s="154"/>
    </row>
    <row r="182" spans="1:34" s="100" customFormat="1" ht="15.75" x14ac:dyDescent="0.25">
      <c r="A182" s="267">
        <v>46048</v>
      </c>
      <c r="B182" s="276" t="s">
        <v>336</v>
      </c>
      <c r="C182" s="160"/>
      <c r="D182" s="160"/>
      <c r="E182" s="160"/>
      <c r="F182" s="160"/>
      <c r="G182" s="160"/>
      <c r="H182" s="160"/>
      <c r="I182" s="160"/>
      <c r="J182" s="160">
        <v>8</v>
      </c>
      <c r="K182" s="160" t="s">
        <v>129</v>
      </c>
      <c r="L182" s="276" t="s">
        <v>687</v>
      </c>
      <c r="M182" s="277" t="s">
        <v>707</v>
      </c>
      <c r="N182" s="161">
        <v>8</v>
      </c>
      <c r="O182" s="162">
        <v>8</v>
      </c>
      <c r="P182" s="198">
        <v>0</v>
      </c>
      <c r="Q182" s="198">
        <v>0</v>
      </c>
      <c r="R182" s="199">
        <v>0</v>
      </c>
      <c r="S182" s="199">
        <v>0</v>
      </c>
      <c r="T182" s="199">
        <v>0</v>
      </c>
      <c r="U182" s="200">
        <v>0</v>
      </c>
      <c r="V182" s="199">
        <v>0</v>
      </c>
      <c r="W182" s="199">
        <v>0</v>
      </c>
      <c r="X182" s="199">
        <v>0</v>
      </c>
      <c r="Y182" s="201">
        <v>0</v>
      </c>
      <c r="Z182" s="202">
        <v>0</v>
      </c>
      <c r="AA182" s="203">
        <v>0</v>
      </c>
      <c r="AB182" s="198">
        <v>0</v>
      </c>
      <c r="AC182" s="175"/>
      <c r="AD182" s="266">
        <v>0.52083333333333337</v>
      </c>
      <c r="AE182" s="266">
        <v>0.59375</v>
      </c>
      <c r="AF182" s="111" t="s">
        <v>98</v>
      </c>
      <c r="AG182" s="174" t="s">
        <v>99</v>
      </c>
      <c r="AH182" s="154"/>
    </row>
    <row r="183" spans="1:34" s="100" customFormat="1" ht="15.75" x14ac:dyDescent="0.25">
      <c r="A183" s="267">
        <v>46048</v>
      </c>
      <c r="B183" s="276" t="s">
        <v>675</v>
      </c>
      <c r="C183" s="160"/>
      <c r="D183" s="160"/>
      <c r="E183" s="160"/>
      <c r="F183" s="160"/>
      <c r="G183" s="160"/>
      <c r="H183" s="160"/>
      <c r="I183" s="160">
        <v>2</v>
      </c>
      <c r="J183" s="160"/>
      <c r="K183" s="160" t="s">
        <v>653</v>
      </c>
      <c r="L183" s="276" t="s">
        <v>686</v>
      </c>
      <c r="M183" s="277" t="s">
        <v>706</v>
      </c>
      <c r="N183" s="161">
        <v>2</v>
      </c>
      <c r="O183" s="162">
        <v>2</v>
      </c>
      <c r="P183" s="198">
        <v>0</v>
      </c>
      <c r="Q183" s="198">
        <v>0</v>
      </c>
      <c r="R183" s="199">
        <v>0</v>
      </c>
      <c r="S183" s="199">
        <v>0</v>
      </c>
      <c r="T183" s="199">
        <v>0</v>
      </c>
      <c r="U183" s="200">
        <v>0</v>
      </c>
      <c r="V183" s="199">
        <v>0</v>
      </c>
      <c r="W183" s="199">
        <v>0</v>
      </c>
      <c r="X183" s="199">
        <v>0</v>
      </c>
      <c r="Y183" s="201">
        <v>0</v>
      </c>
      <c r="Z183" s="202">
        <v>0</v>
      </c>
      <c r="AA183" s="203">
        <v>0</v>
      </c>
      <c r="AB183" s="198">
        <v>0</v>
      </c>
      <c r="AC183" s="175"/>
      <c r="AD183" s="266">
        <v>0.40833333333333338</v>
      </c>
      <c r="AE183" s="266">
        <v>0.63263888888888886</v>
      </c>
      <c r="AF183" s="111" t="s">
        <v>117</v>
      </c>
      <c r="AG183" s="174" t="s">
        <v>99</v>
      </c>
      <c r="AH183" s="154"/>
    </row>
    <row r="184" spans="1:34" s="100" customFormat="1" ht="15.75" x14ac:dyDescent="0.25">
      <c r="A184" s="267">
        <v>46048</v>
      </c>
      <c r="B184" s="276" t="s">
        <v>674</v>
      </c>
      <c r="C184" s="160">
        <v>1</v>
      </c>
      <c r="D184" s="160"/>
      <c r="E184" s="160"/>
      <c r="F184" s="160"/>
      <c r="G184" s="160"/>
      <c r="H184" s="160"/>
      <c r="I184" s="160"/>
      <c r="J184" s="160"/>
      <c r="K184" s="160" t="s">
        <v>654</v>
      </c>
      <c r="L184" s="276" t="s">
        <v>685</v>
      </c>
      <c r="M184" s="277" t="s">
        <v>705</v>
      </c>
      <c r="N184" s="161">
        <v>1</v>
      </c>
      <c r="O184" s="162">
        <v>1</v>
      </c>
      <c r="P184" s="198">
        <v>0</v>
      </c>
      <c r="Q184" s="198">
        <v>0</v>
      </c>
      <c r="R184" s="199">
        <v>0</v>
      </c>
      <c r="S184" s="199">
        <v>0</v>
      </c>
      <c r="T184" s="199">
        <v>0</v>
      </c>
      <c r="U184" s="200">
        <v>0</v>
      </c>
      <c r="V184" s="199">
        <v>0</v>
      </c>
      <c r="W184" s="199">
        <v>0</v>
      </c>
      <c r="X184" s="199">
        <v>0</v>
      </c>
      <c r="Y184" s="201">
        <v>0</v>
      </c>
      <c r="Z184" s="202">
        <v>0</v>
      </c>
      <c r="AA184" s="203">
        <v>0</v>
      </c>
      <c r="AB184" s="198">
        <v>0</v>
      </c>
      <c r="AC184" s="175"/>
      <c r="AD184" s="266">
        <v>0.39583333333333331</v>
      </c>
      <c r="AE184" s="266">
        <v>0.66666666666666663</v>
      </c>
      <c r="AF184" s="111" t="s">
        <v>98</v>
      </c>
      <c r="AG184" s="174" t="s">
        <v>99</v>
      </c>
      <c r="AH184" s="154"/>
    </row>
    <row r="185" spans="1:34" s="100" customFormat="1" ht="15.75" x14ac:dyDescent="0.25">
      <c r="A185" s="267">
        <v>46048</v>
      </c>
      <c r="B185" s="276" t="s">
        <v>133</v>
      </c>
      <c r="C185" s="160"/>
      <c r="D185" s="160"/>
      <c r="E185" s="160"/>
      <c r="F185" s="160">
        <v>2</v>
      </c>
      <c r="G185" s="160"/>
      <c r="H185" s="160"/>
      <c r="I185" s="160"/>
      <c r="J185" s="160"/>
      <c r="K185" s="160" t="s">
        <v>134</v>
      </c>
      <c r="L185" s="276" t="s">
        <v>684</v>
      </c>
      <c r="M185" s="277" t="s">
        <v>704</v>
      </c>
      <c r="N185" s="161">
        <v>2</v>
      </c>
      <c r="O185" s="162">
        <v>2</v>
      </c>
      <c r="P185" s="198">
        <v>0</v>
      </c>
      <c r="Q185" s="198">
        <v>0</v>
      </c>
      <c r="R185" s="199">
        <v>0</v>
      </c>
      <c r="S185" s="199">
        <v>0</v>
      </c>
      <c r="T185" s="199">
        <v>0</v>
      </c>
      <c r="U185" s="200">
        <v>0</v>
      </c>
      <c r="V185" s="199">
        <v>0</v>
      </c>
      <c r="W185" s="199">
        <v>0</v>
      </c>
      <c r="X185" s="199">
        <v>0</v>
      </c>
      <c r="Y185" s="201">
        <v>0</v>
      </c>
      <c r="Z185" s="202">
        <v>0</v>
      </c>
      <c r="AA185" s="203">
        <v>0</v>
      </c>
      <c r="AB185" s="198">
        <v>0</v>
      </c>
      <c r="AC185" s="175"/>
      <c r="AD185" s="266">
        <v>0.47916666666666669</v>
      </c>
      <c r="AE185" s="266"/>
      <c r="AF185" s="111" t="s">
        <v>98</v>
      </c>
      <c r="AG185" s="174" t="s">
        <v>99</v>
      </c>
      <c r="AH185" s="154"/>
    </row>
    <row r="186" spans="1:34" s="100" customFormat="1" ht="15.75" x14ac:dyDescent="0.25">
      <c r="A186" s="267">
        <v>46048</v>
      </c>
      <c r="B186" s="276" t="s">
        <v>673</v>
      </c>
      <c r="C186" s="160"/>
      <c r="D186" s="160"/>
      <c r="E186" s="160"/>
      <c r="F186" s="160">
        <v>1</v>
      </c>
      <c r="G186" s="160"/>
      <c r="H186" s="160"/>
      <c r="I186" s="160"/>
      <c r="J186" s="160"/>
      <c r="K186" s="160" t="s">
        <v>655</v>
      </c>
      <c r="L186" s="276" t="s">
        <v>683</v>
      </c>
      <c r="M186" s="277" t="s">
        <v>703</v>
      </c>
      <c r="N186" s="161">
        <v>1</v>
      </c>
      <c r="O186" s="162">
        <v>1</v>
      </c>
      <c r="P186" s="198">
        <v>0</v>
      </c>
      <c r="Q186" s="198">
        <v>0</v>
      </c>
      <c r="R186" s="199">
        <v>0</v>
      </c>
      <c r="S186" s="199">
        <v>0</v>
      </c>
      <c r="T186" s="199">
        <v>0</v>
      </c>
      <c r="U186" s="200">
        <v>0</v>
      </c>
      <c r="V186" s="199">
        <v>0</v>
      </c>
      <c r="W186" s="199">
        <v>0</v>
      </c>
      <c r="X186" s="199">
        <v>0</v>
      </c>
      <c r="Y186" s="201">
        <v>0</v>
      </c>
      <c r="Z186" s="202">
        <v>0</v>
      </c>
      <c r="AA186" s="203">
        <v>0</v>
      </c>
      <c r="AB186" s="198">
        <v>0</v>
      </c>
      <c r="AC186" s="175"/>
      <c r="AD186" s="266">
        <v>0.67361111111111116</v>
      </c>
      <c r="AE186" s="266">
        <v>0.70138888888888884</v>
      </c>
      <c r="AF186" s="111" t="s">
        <v>98</v>
      </c>
      <c r="AG186" s="174" t="s">
        <v>99</v>
      </c>
      <c r="AH186" s="154"/>
    </row>
    <row r="187" spans="1:34" s="100" customFormat="1" ht="15.75" x14ac:dyDescent="0.25">
      <c r="A187" s="267">
        <v>46048</v>
      </c>
      <c r="B187" s="276" t="s">
        <v>672</v>
      </c>
      <c r="C187" s="160"/>
      <c r="D187" s="160"/>
      <c r="E187" s="160"/>
      <c r="F187" s="160">
        <v>1</v>
      </c>
      <c r="G187" s="160"/>
      <c r="H187" s="160"/>
      <c r="I187" s="160"/>
      <c r="J187" s="160"/>
      <c r="K187" s="160" t="s">
        <v>656</v>
      </c>
      <c r="L187" s="276" t="s">
        <v>682</v>
      </c>
      <c r="M187" s="277" t="s">
        <v>702</v>
      </c>
      <c r="N187" s="161">
        <v>1</v>
      </c>
      <c r="O187" s="162">
        <v>1</v>
      </c>
      <c r="P187" s="198">
        <v>0</v>
      </c>
      <c r="Q187" s="198">
        <v>0</v>
      </c>
      <c r="R187" s="199">
        <v>0</v>
      </c>
      <c r="S187" s="199">
        <v>0</v>
      </c>
      <c r="T187" s="199">
        <v>0</v>
      </c>
      <c r="U187" s="200">
        <v>0</v>
      </c>
      <c r="V187" s="199">
        <v>0</v>
      </c>
      <c r="W187" s="199">
        <v>0</v>
      </c>
      <c r="X187" s="199">
        <v>0</v>
      </c>
      <c r="Y187" s="201">
        <v>0</v>
      </c>
      <c r="Z187" s="202">
        <v>0</v>
      </c>
      <c r="AA187" s="203">
        <v>0</v>
      </c>
      <c r="AB187" s="198">
        <v>0</v>
      </c>
      <c r="AC187" s="175"/>
      <c r="AD187" s="266"/>
      <c r="AE187" s="266">
        <v>0.74652777777777779</v>
      </c>
      <c r="AF187" s="111" t="s">
        <v>98</v>
      </c>
      <c r="AG187" s="174" t="s">
        <v>99</v>
      </c>
      <c r="AH187" s="154" t="s">
        <v>245</v>
      </c>
    </row>
    <row r="188" spans="1:34" s="100" customFormat="1" ht="15.75" x14ac:dyDescent="0.25">
      <c r="A188" s="267">
        <v>46048</v>
      </c>
      <c r="B188" s="276" t="s">
        <v>671</v>
      </c>
      <c r="C188" s="160">
        <v>1</v>
      </c>
      <c r="D188" s="160"/>
      <c r="E188" s="160"/>
      <c r="F188" s="160"/>
      <c r="G188" s="160"/>
      <c r="H188" s="160"/>
      <c r="I188" s="160"/>
      <c r="J188" s="160"/>
      <c r="K188" s="160" t="s">
        <v>529</v>
      </c>
      <c r="L188" s="276" t="s">
        <v>681</v>
      </c>
      <c r="M188" s="277" t="s">
        <v>701</v>
      </c>
      <c r="N188" s="161">
        <v>1</v>
      </c>
      <c r="O188" s="162">
        <v>1</v>
      </c>
      <c r="P188" s="198">
        <v>0</v>
      </c>
      <c r="Q188" s="198">
        <v>0</v>
      </c>
      <c r="R188" s="199">
        <v>0</v>
      </c>
      <c r="S188" s="199">
        <v>0</v>
      </c>
      <c r="T188" s="199">
        <v>0</v>
      </c>
      <c r="U188" s="200">
        <v>0</v>
      </c>
      <c r="V188" s="199">
        <v>0</v>
      </c>
      <c r="W188" s="199">
        <v>0</v>
      </c>
      <c r="X188" s="199">
        <v>0</v>
      </c>
      <c r="Y188" s="201">
        <v>0</v>
      </c>
      <c r="Z188" s="202">
        <v>0</v>
      </c>
      <c r="AA188" s="203">
        <v>0</v>
      </c>
      <c r="AB188" s="198">
        <v>0</v>
      </c>
      <c r="AC188" s="175"/>
      <c r="AD188" s="266"/>
      <c r="AE188" s="266"/>
      <c r="AF188" s="111" t="s">
        <v>117</v>
      </c>
      <c r="AG188" s="174" t="s">
        <v>99</v>
      </c>
      <c r="AH188" s="154"/>
    </row>
    <row r="189" spans="1:34" s="284" customFormat="1" ht="15.75" x14ac:dyDescent="0.25">
      <c r="A189" s="243">
        <v>46049</v>
      </c>
      <c r="B189" s="247" t="s">
        <v>670</v>
      </c>
      <c r="C189" s="281"/>
      <c r="D189" s="281"/>
      <c r="E189" s="281"/>
      <c r="F189" s="281">
        <v>2</v>
      </c>
      <c r="G189" s="281"/>
      <c r="H189" s="281"/>
      <c r="I189" s="281"/>
      <c r="J189" s="281"/>
      <c r="K189" s="281" t="s">
        <v>633</v>
      </c>
      <c r="L189" s="247" t="s">
        <v>680</v>
      </c>
      <c r="M189" s="248" t="s">
        <v>700</v>
      </c>
      <c r="N189" s="285">
        <v>2</v>
      </c>
      <c r="O189" s="286">
        <v>1</v>
      </c>
      <c r="P189" s="251">
        <v>1</v>
      </c>
      <c r="Q189" s="251">
        <v>0</v>
      </c>
      <c r="R189" s="252">
        <v>1</v>
      </c>
      <c r="S189" s="252">
        <v>0</v>
      </c>
      <c r="T189" s="252">
        <v>0</v>
      </c>
      <c r="U189" s="253">
        <v>0</v>
      </c>
      <c r="V189" s="252">
        <v>0</v>
      </c>
      <c r="W189" s="252">
        <v>0</v>
      </c>
      <c r="X189" s="252">
        <v>0</v>
      </c>
      <c r="Y189" s="254">
        <v>0</v>
      </c>
      <c r="Z189" s="255">
        <v>0</v>
      </c>
      <c r="AA189" s="256">
        <v>0</v>
      </c>
      <c r="AB189" s="251">
        <v>1</v>
      </c>
      <c r="AC189" s="246">
        <v>26</v>
      </c>
      <c r="AD189" s="287">
        <v>0.75</v>
      </c>
      <c r="AE189" s="287">
        <v>0.41319444444444442</v>
      </c>
      <c r="AF189" s="288" t="s">
        <v>98</v>
      </c>
      <c r="AG189" s="260" t="s">
        <v>99</v>
      </c>
      <c r="AH189" s="289"/>
    </row>
    <row r="190" spans="1:34" s="138" customFormat="1" ht="15.75" x14ac:dyDescent="0.25">
      <c r="A190" s="176">
        <v>46049</v>
      </c>
      <c r="B190" s="184" t="s">
        <v>669</v>
      </c>
      <c r="C190" s="164"/>
      <c r="D190" s="164"/>
      <c r="E190" s="164"/>
      <c r="F190" s="164">
        <v>1</v>
      </c>
      <c r="G190" s="164">
        <v>1</v>
      </c>
      <c r="H190" s="164"/>
      <c r="I190" s="164"/>
      <c r="J190" s="164"/>
      <c r="K190" s="164" t="s">
        <v>657</v>
      </c>
      <c r="L190" s="184" t="s">
        <v>679</v>
      </c>
      <c r="M190" s="187" t="s">
        <v>699</v>
      </c>
      <c r="N190" s="169">
        <v>1</v>
      </c>
      <c r="O190" s="170">
        <v>1</v>
      </c>
      <c r="P190" s="198">
        <v>0</v>
      </c>
      <c r="Q190" s="198">
        <v>0</v>
      </c>
      <c r="R190" s="199">
        <v>0</v>
      </c>
      <c r="S190" s="199">
        <v>0</v>
      </c>
      <c r="T190" s="199">
        <v>0</v>
      </c>
      <c r="U190" s="200">
        <v>0</v>
      </c>
      <c r="V190" s="199">
        <v>0</v>
      </c>
      <c r="W190" s="199">
        <v>0</v>
      </c>
      <c r="X190" s="199">
        <v>0</v>
      </c>
      <c r="Y190" s="201">
        <v>0</v>
      </c>
      <c r="Z190" s="202">
        <v>0</v>
      </c>
      <c r="AA190" s="203">
        <v>0</v>
      </c>
      <c r="AB190" s="198">
        <v>0</v>
      </c>
      <c r="AC190" s="175"/>
      <c r="AD190" s="241">
        <v>0.40277777777777773</v>
      </c>
      <c r="AE190" s="241">
        <v>0.47986111111111113</v>
      </c>
      <c r="AF190" s="158" t="s">
        <v>98</v>
      </c>
      <c r="AG190" s="174" t="s">
        <v>99</v>
      </c>
      <c r="AH190" s="159"/>
    </row>
    <row r="191" spans="1:34" s="100" customFormat="1" ht="15.75" x14ac:dyDescent="0.25">
      <c r="A191" s="267">
        <v>46049</v>
      </c>
      <c r="B191" s="276" t="s">
        <v>724</v>
      </c>
      <c r="C191" s="160"/>
      <c r="D191" s="160"/>
      <c r="E191" s="160"/>
      <c r="F191" s="160">
        <v>2</v>
      </c>
      <c r="G191" s="160"/>
      <c r="H191" s="160"/>
      <c r="I191" s="160"/>
      <c r="J191" s="160"/>
      <c r="K191" s="160" t="s">
        <v>725</v>
      </c>
      <c r="L191" s="276" t="s">
        <v>744</v>
      </c>
      <c r="M191" s="277" t="s">
        <v>735</v>
      </c>
      <c r="N191" s="161">
        <v>2</v>
      </c>
      <c r="O191" s="162">
        <v>2</v>
      </c>
      <c r="P191" s="198">
        <v>0</v>
      </c>
      <c r="Q191" s="198">
        <v>0</v>
      </c>
      <c r="R191" s="199">
        <v>0</v>
      </c>
      <c r="S191" s="199">
        <v>0</v>
      </c>
      <c r="T191" s="199">
        <v>0</v>
      </c>
      <c r="U191" s="200">
        <v>0</v>
      </c>
      <c r="V191" s="199">
        <v>0</v>
      </c>
      <c r="W191" s="199">
        <v>0</v>
      </c>
      <c r="X191" s="199">
        <v>0</v>
      </c>
      <c r="Y191" s="201">
        <v>0</v>
      </c>
      <c r="Z191" s="202">
        <v>0</v>
      </c>
      <c r="AA191" s="203">
        <v>0</v>
      </c>
      <c r="AB191" s="198">
        <v>0</v>
      </c>
      <c r="AC191" s="175">
        <v>26</v>
      </c>
      <c r="AD191" s="266">
        <v>0.55277777777777781</v>
      </c>
      <c r="AE191" s="266">
        <v>0.49444444444444446</v>
      </c>
      <c r="AF191" s="111" t="s">
        <v>117</v>
      </c>
      <c r="AG191" s="174" t="s">
        <v>99</v>
      </c>
      <c r="AH191" s="154"/>
    </row>
    <row r="192" spans="1:34" s="284" customFormat="1" ht="15.75" x14ac:dyDescent="0.25">
      <c r="A192" s="243">
        <v>46049</v>
      </c>
      <c r="B192" s="247" t="s">
        <v>726</v>
      </c>
      <c r="C192" s="281">
        <v>1</v>
      </c>
      <c r="D192" s="281"/>
      <c r="E192" s="281">
        <v>1</v>
      </c>
      <c r="F192" s="281"/>
      <c r="G192" s="281"/>
      <c r="H192" s="281"/>
      <c r="I192" s="281"/>
      <c r="J192" s="281"/>
      <c r="K192" s="281" t="s">
        <v>145</v>
      </c>
      <c r="L192" s="247" t="s">
        <v>743</v>
      </c>
      <c r="M192" s="248" t="s">
        <v>736</v>
      </c>
      <c r="N192" s="285">
        <v>1</v>
      </c>
      <c r="O192" s="286">
        <v>0</v>
      </c>
      <c r="P192" s="251">
        <v>1</v>
      </c>
      <c r="Q192" s="251">
        <v>0</v>
      </c>
      <c r="R192" s="252">
        <v>1</v>
      </c>
      <c r="S192" s="252">
        <v>0</v>
      </c>
      <c r="T192" s="252">
        <v>0</v>
      </c>
      <c r="U192" s="253">
        <v>0</v>
      </c>
      <c r="V192" s="252">
        <v>0</v>
      </c>
      <c r="W192" s="252">
        <v>0</v>
      </c>
      <c r="X192" s="252">
        <v>0</v>
      </c>
      <c r="Y192" s="254">
        <v>0</v>
      </c>
      <c r="Z192" s="255">
        <v>1</v>
      </c>
      <c r="AA192" s="256">
        <v>0</v>
      </c>
      <c r="AB192" s="251">
        <v>0</v>
      </c>
      <c r="AC192" s="246"/>
      <c r="AD192" s="287">
        <v>0.5</v>
      </c>
      <c r="AE192" s="287">
        <v>0.57152777777777775</v>
      </c>
      <c r="AF192" s="288" t="s">
        <v>98</v>
      </c>
      <c r="AG192" s="260" t="s">
        <v>99</v>
      </c>
      <c r="AH192" s="289"/>
    </row>
    <row r="193" spans="1:34" s="100" customFormat="1" ht="15.75" x14ac:dyDescent="0.25">
      <c r="A193" s="267">
        <v>46049</v>
      </c>
      <c r="B193" s="276" t="s">
        <v>728</v>
      </c>
      <c r="C193" s="160">
        <v>1</v>
      </c>
      <c r="D193" s="160"/>
      <c r="E193" s="160"/>
      <c r="F193" s="160"/>
      <c r="G193" s="160"/>
      <c r="H193" s="160"/>
      <c r="I193" s="160"/>
      <c r="J193" s="160"/>
      <c r="K193" s="160" t="s">
        <v>729</v>
      </c>
      <c r="L193" s="276" t="s">
        <v>742</v>
      </c>
      <c r="M193" s="277" t="s">
        <v>737</v>
      </c>
      <c r="N193" s="161">
        <v>1</v>
      </c>
      <c r="O193" s="162">
        <v>1</v>
      </c>
      <c r="P193" s="198">
        <v>0</v>
      </c>
      <c r="Q193" s="198">
        <v>0</v>
      </c>
      <c r="R193" s="199">
        <v>0</v>
      </c>
      <c r="S193" s="199">
        <v>0</v>
      </c>
      <c r="T193" s="199">
        <v>0</v>
      </c>
      <c r="U193" s="200">
        <v>0</v>
      </c>
      <c r="V193" s="199">
        <v>0</v>
      </c>
      <c r="W193" s="199">
        <v>0</v>
      </c>
      <c r="X193" s="199">
        <v>0</v>
      </c>
      <c r="Y193" s="201">
        <v>0</v>
      </c>
      <c r="Z193" s="202">
        <v>0</v>
      </c>
      <c r="AA193" s="203">
        <v>0</v>
      </c>
      <c r="AB193" s="198">
        <v>0</v>
      </c>
      <c r="AC193" s="175"/>
      <c r="AD193" s="266">
        <v>0.51388888888888895</v>
      </c>
      <c r="AE193" s="266">
        <v>0.57638888888888895</v>
      </c>
      <c r="AF193" s="111" t="s">
        <v>168</v>
      </c>
      <c r="AG193" s="174" t="s">
        <v>99</v>
      </c>
      <c r="AH193" s="154"/>
    </row>
    <row r="194" spans="1:34" s="100" customFormat="1" ht="15.75" x14ac:dyDescent="0.25">
      <c r="A194" s="267">
        <v>46049</v>
      </c>
      <c r="B194" s="276" t="s">
        <v>730</v>
      </c>
      <c r="C194" s="160"/>
      <c r="D194" s="160"/>
      <c r="E194" s="160"/>
      <c r="F194" s="160">
        <v>2</v>
      </c>
      <c r="G194" s="160"/>
      <c r="H194" s="160"/>
      <c r="I194" s="160"/>
      <c r="J194" s="160"/>
      <c r="K194" s="160" t="s">
        <v>731</v>
      </c>
      <c r="L194" s="276" t="s">
        <v>741</v>
      </c>
      <c r="M194" s="277" t="s">
        <v>738</v>
      </c>
      <c r="N194" s="161">
        <v>2</v>
      </c>
      <c r="O194" s="162">
        <v>2</v>
      </c>
      <c r="P194" s="198">
        <v>0</v>
      </c>
      <c r="Q194" s="198">
        <v>0</v>
      </c>
      <c r="R194" s="199">
        <v>0</v>
      </c>
      <c r="S194" s="199">
        <v>0</v>
      </c>
      <c r="T194" s="199">
        <v>0</v>
      </c>
      <c r="U194" s="200">
        <v>0</v>
      </c>
      <c r="V194" s="199">
        <v>0</v>
      </c>
      <c r="W194" s="199">
        <v>0</v>
      </c>
      <c r="X194" s="199">
        <v>0</v>
      </c>
      <c r="Y194" s="201">
        <v>0</v>
      </c>
      <c r="Z194" s="202">
        <v>0</v>
      </c>
      <c r="AA194" s="203">
        <v>0</v>
      </c>
      <c r="AB194" s="198">
        <v>0</v>
      </c>
      <c r="AC194" s="175"/>
      <c r="AD194" s="266">
        <v>0.49305555555555558</v>
      </c>
      <c r="AE194" s="266">
        <v>0.58888888888888891</v>
      </c>
      <c r="AF194" s="111" t="s">
        <v>98</v>
      </c>
      <c r="AG194" s="174" t="s">
        <v>99</v>
      </c>
      <c r="AH194" s="154"/>
    </row>
    <row r="195" spans="1:34" s="138" customFormat="1" ht="15.75" x14ac:dyDescent="0.25">
      <c r="A195" s="176">
        <v>46049</v>
      </c>
      <c r="B195" s="184" t="s">
        <v>669</v>
      </c>
      <c r="C195" s="164"/>
      <c r="D195" s="164"/>
      <c r="E195" s="164"/>
      <c r="F195" s="164">
        <v>1</v>
      </c>
      <c r="G195" s="164">
        <v>1</v>
      </c>
      <c r="H195" s="164"/>
      <c r="I195" s="164"/>
      <c r="J195" s="164"/>
      <c r="K195" s="164" t="s">
        <v>657</v>
      </c>
      <c r="L195" s="184" t="s">
        <v>740</v>
      </c>
      <c r="M195" s="187" t="s">
        <v>739</v>
      </c>
      <c r="N195" s="169">
        <v>1</v>
      </c>
      <c r="O195" s="170">
        <v>1</v>
      </c>
      <c r="P195" s="198">
        <v>0</v>
      </c>
      <c r="Q195" s="198">
        <v>0</v>
      </c>
      <c r="R195" s="199">
        <v>0</v>
      </c>
      <c r="S195" s="199">
        <v>0</v>
      </c>
      <c r="T195" s="199">
        <v>0</v>
      </c>
      <c r="U195" s="200">
        <v>0</v>
      </c>
      <c r="V195" s="199">
        <v>0</v>
      </c>
      <c r="W195" s="199">
        <v>0</v>
      </c>
      <c r="X195" s="199">
        <v>0</v>
      </c>
      <c r="Y195" s="201">
        <v>0</v>
      </c>
      <c r="Z195" s="202">
        <v>0</v>
      </c>
      <c r="AA195" s="203">
        <v>0</v>
      </c>
      <c r="AB195" s="198">
        <v>0</v>
      </c>
      <c r="AC195" s="175">
        <v>26</v>
      </c>
      <c r="AD195" s="241">
        <v>0.75</v>
      </c>
      <c r="AE195" s="241">
        <v>0.60416666666666663</v>
      </c>
      <c r="AF195" s="158" t="s">
        <v>117</v>
      </c>
      <c r="AG195" s="174" t="s">
        <v>99</v>
      </c>
      <c r="AH195" s="159" t="s">
        <v>732</v>
      </c>
    </row>
    <row r="196" spans="1:34" s="100" customFormat="1" ht="15.75" x14ac:dyDescent="0.25">
      <c r="A196" s="267">
        <v>46049</v>
      </c>
      <c r="B196" s="276" t="s">
        <v>669</v>
      </c>
      <c r="C196" s="160"/>
      <c r="D196" s="160"/>
      <c r="E196" s="160"/>
      <c r="F196" s="160">
        <v>1</v>
      </c>
      <c r="G196" s="160">
        <v>1</v>
      </c>
      <c r="H196" s="160"/>
      <c r="I196" s="160"/>
      <c r="J196" s="160"/>
      <c r="K196" s="160" t="s">
        <v>657</v>
      </c>
      <c r="L196" s="276" t="s">
        <v>745</v>
      </c>
      <c r="M196" s="277" t="s">
        <v>746</v>
      </c>
      <c r="N196" s="161">
        <v>1</v>
      </c>
      <c r="O196" s="162">
        <v>1</v>
      </c>
      <c r="P196" s="198">
        <v>0</v>
      </c>
      <c r="Q196" s="198">
        <v>0</v>
      </c>
      <c r="R196" s="199">
        <v>0</v>
      </c>
      <c r="S196" s="199">
        <v>0</v>
      </c>
      <c r="T196" s="199">
        <v>0</v>
      </c>
      <c r="U196" s="200">
        <v>0</v>
      </c>
      <c r="V196" s="199">
        <v>0</v>
      </c>
      <c r="W196" s="199">
        <v>0</v>
      </c>
      <c r="X196" s="199">
        <v>0</v>
      </c>
      <c r="Y196" s="201">
        <v>0</v>
      </c>
      <c r="Z196" s="202">
        <v>0</v>
      </c>
      <c r="AA196" s="203">
        <v>0</v>
      </c>
      <c r="AB196" s="198">
        <v>0</v>
      </c>
      <c r="AC196" s="175"/>
      <c r="AD196" s="266">
        <v>0.40277777777777773</v>
      </c>
      <c r="AE196" s="266">
        <v>0.625</v>
      </c>
      <c r="AF196" s="111" t="s">
        <v>117</v>
      </c>
      <c r="AG196" s="174" t="s">
        <v>99</v>
      </c>
      <c r="AH196" s="154"/>
    </row>
    <row r="197" spans="1:34" s="100" customFormat="1" ht="15.75" x14ac:dyDescent="0.25">
      <c r="A197" s="267">
        <v>46049</v>
      </c>
      <c r="B197" s="276" t="s">
        <v>436</v>
      </c>
      <c r="C197" s="160"/>
      <c r="D197" s="160"/>
      <c r="E197" s="160"/>
      <c r="F197" s="160">
        <v>1</v>
      </c>
      <c r="G197" s="160"/>
      <c r="H197" s="160"/>
      <c r="I197" s="160"/>
      <c r="J197" s="160"/>
      <c r="K197" s="160" t="s">
        <v>437</v>
      </c>
      <c r="L197" s="276" t="s">
        <v>468</v>
      </c>
      <c r="M197" s="277" t="s">
        <v>747</v>
      </c>
      <c r="N197" s="161">
        <v>1</v>
      </c>
      <c r="O197" s="162">
        <v>1</v>
      </c>
      <c r="P197" s="198">
        <v>0</v>
      </c>
      <c r="Q197" s="198">
        <v>0</v>
      </c>
      <c r="R197" s="199">
        <v>0</v>
      </c>
      <c r="S197" s="199">
        <v>0</v>
      </c>
      <c r="T197" s="199">
        <v>0</v>
      </c>
      <c r="U197" s="200">
        <v>0</v>
      </c>
      <c r="V197" s="199">
        <v>0</v>
      </c>
      <c r="W197" s="199">
        <v>0</v>
      </c>
      <c r="X197" s="199">
        <v>0</v>
      </c>
      <c r="Y197" s="201">
        <v>0</v>
      </c>
      <c r="Z197" s="202">
        <v>0</v>
      </c>
      <c r="AA197" s="203">
        <v>0</v>
      </c>
      <c r="AB197" s="198">
        <v>0</v>
      </c>
      <c r="AC197" s="175">
        <v>26</v>
      </c>
      <c r="AD197" s="266">
        <v>0.6875</v>
      </c>
      <c r="AE197" s="266">
        <v>0.64583333333333337</v>
      </c>
      <c r="AF197" s="111" t="s">
        <v>98</v>
      </c>
      <c r="AG197" s="174" t="s">
        <v>99</v>
      </c>
      <c r="AH197" s="154"/>
    </row>
    <row r="198" spans="1:34" s="100" customFormat="1" ht="15.75" x14ac:dyDescent="0.25">
      <c r="A198" s="267">
        <v>46049</v>
      </c>
      <c r="B198" s="276" t="s">
        <v>748</v>
      </c>
      <c r="C198" s="160"/>
      <c r="D198" s="160"/>
      <c r="E198" s="160"/>
      <c r="F198" s="160">
        <v>1</v>
      </c>
      <c r="G198" s="160"/>
      <c r="H198" s="160"/>
      <c r="I198" s="160"/>
      <c r="J198" s="160"/>
      <c r="K198" s="160" t="s">
        <v>725</v>
      </c>
      <c r="L198" s="276" t="s">
        <v>749</v>
      </c>
      <c r="M198" s="277" t="s">
        <v>750</v>
      </c>
      <c r="N198" s="161">
        <v>1</v>
      </c>
      <c r="O198" s="162">
        <v>1</v>
      </c>
      <c r="P198" s="198">
        <v>0</v>
      </c>
      <c r="Q198" s="198">
        <v>0</v>
      </c>
      <c r="R198" s="199">
        <v>0</v>
      </c>
      <c r="S198" s="199">
        <v>0</v>
      </c>
      <c r="T198" s="199">
        <v>0</v>
      </c>
      <c r="U198" s="200">
        <v>0</v>
      </c>
      <c r="V198" s="199">
        <v>0</v>
      </c>
      <c r="W198" s="199">
        <v>0</v>
      </c>
      <c r="X198" s="199">
        <v>0</v>
      </c>
      <c r="Y198" s="201">
        <v>0</v>
      </c>
      <c r="Z198" s="202">
        <v>0</v>
      </c>
      <c r="AA198" s="203">
        <v>0</v>
      </c>
      <c r="AB198" s="198">
        <v>0</v>
      </c>
      <c r="AC198" s="175"/>
      <c r="AD198" s="266">
        <v>0.64236111111111105</v>
      </c>
      <c r="AE198" s="266">
        <v>0.65972222222222221</v>
      </c>
      <c r="AF198" s="111" t="s">
        <v>98</v>
      </c>
      <c r="AG198" s="174" t="s">
        <v>99</v>
      </c>
      <c r="AH198" s="154"/>
    </row>
    <row r="199" spans="1:34" ht="15.75" x14ac:dyDescent="0.25">
      <c r="A199" s="267">
        <v>46049</v>
      </c>
      <c r="B199" s="108" t="s">
        <v>751</v>
      </c>
      <c r="C199" s="160">
        <v>1</v>
      </c>
      <c r="D199" s="160"/>
      <c r="E199" s="160"/>
      <c r="F199" s="160"/>
      <c r="G199" s="160"/>
      <c r="H199" s="160"/>
      <c r="I199" s="160"/>
      <c r="J199" s="160"/>
      <c r="K199" s="165" t="s">
        <v>752</v>
      </c>
      <c r="L199" s="108" t="s">
        <v>743</v>
      </c>
      <c r="M199" s="96" t="s">
        <v>753</v>
      </c>
      <c r="N199" s="161">
        <v>1</v>
      </c>
      <c r="O199" s="162">
        <v>1</v>
      </c>
      <c r="P199" s="198">
        <v>0</v>
      </c>
      <c r="Q199" s="198">
        <v>0</v>
      </c>
      <c r="R199" s="199">
        <v>0</v>
      </c>
      <c r="S199" s="199">
        <v>0</v>
      </c>
      <c r="T199" s="199">
        <v>0</v>
      </c>
      <c r="U199" s="200">
        <v>0</v>
      </c>
      <c r="V199" s="199">
        <v>0</v>
      </c>
      <c r="W199" s="199">
        <v>0</v>
      </c>
      <c r="X199" s="199">
        <v>0</v>
      </c>
      <c r="Y199" s="201">
        <v>0</v>
      </c>
      <c r="Z199" s="202">
        <v>0</v>
      </c>
      <c r="AA199" s="203">
        <v>0</v>
      </c>
      <c r="AB199" s="198">
        <v>0</v>
      </c>
      <c r="AC199" s="175"/>
      <c r="AD199" s="164"/>
      <c r="AE199" s="278">
        <v>0.70138888888888884</v>
      </c>
      <c r="AF199" s="16" t="s">
        <v>98</v>
      </c>
      <c r="AG199" s="174" t="s">
        <v>99</v>
      </c>
      <c r="AH199" s="155" t="s">
        <v>760</v>
      </c>
    </row>
    <row r="200" spans="1:34" ht="15.75" x14ac:dyDescent="0.25">
      <c r="A200" s="267">
        <v>46049</v>
      </c>
      <c r="B200" s="108" t="s">
        <v>754</v>
      </c>
      <c r="C200" s="160"/>
      <c r="D200" s="160"/>
      <c r="E200" s="160"/>
      <c r="F200" s="160">
        <v>2</v>
      </c>
      <c r="G200" s="160"/>
      <c r="H200" s="160"/>
      <c r="I200" s="160"/>
      <c r="J200" s="160"/>
      <c r="K200" s="165" t="s">
        <v>725</v>
      </c>
      <c r="L200" s="108" t="s">
        <v>744</v>
      </c>
      <c r="M200" s="96" t="s">
        <v>755</v>
      </c>
      <c r="N200" s="161">
        <v>2</v>
      </c>
      <c r="O200" s="162">
        <v>2</v>
      </c>
      <c r="P200" s="198">
        <v>0</v>
      </c>
      <c r="Q200" s="198">
        <v>0</v>
      </c>
      <c r="R200" s="199">
        <v>0</v>
      </c>
      <c r="S200" s="199">
        <v>0</v>
      </c>
      <c r="T200" s="199">
        <v>0</v>
      </c>
      <c r="U200" s="200">
        <v>0</v>
      </c>
      <c r="V200" s="199">
        <v>0</v>
      </c>
      <c r="W200" s="199">
        <v>0</v>
      </c>
      <c r="X200" s="199">
        <v>0</v>
      </c>
      <c r="Y200" s="201">
        <v>0</v>
      </c>
      <c r="Z200" s="202">
        <v>0</v>
      </c>
      <c r="AA200" s="203">
        <v>0</v>
      </c>
      <c r="AB200" s="198">
        <v>0</v>
      </c>
      <c r="AC200" s="175"/>
      <c r="AD200" s="241">
        <v>0.48888888888888887</v>
      </c>
      <c r="AE200" s="278">
        <v>0.71875</v>
      </c>
      <c r="AF200" s="16" t="s">
        <v>98</v>
      </c>
      <c r="AG200" s="174" t="s">
        <v>99</v>
      </c>
      <c r="AH200" s="155" t="s">
        <v>756</v>
      </c>
    </row>
    <row r="201" spans="1:34" ht="15.75" x14ac:dyDescent="0.25">
      <c r="A201" s="267">
        <v>46049</v>
      </c>
      <c r="B201" s="108" t="s">
        <v>757</v>
      </c>
      <c r="C201" s="160"/>
      <c r="D201" s="160"/>
      <c r="E201" s="160"/>
      <c r="F201" s="160"/>
      <c r="G201" s="160"/>
      <c r="H201" s="160">
        <v>1</v>
      </c>
      <c r="I201" s="160"/>
      <c r="J201" s="160"/>
      <c r="K201" s="165" t="s">
        <v>656</v>
      </c>
      <c r="L201" s="108" t="s">
        <v>758</v>
      </c>
      <c r="M201" s="96" t="s">
        <v>759</v>
      </c>
      <c r="N201" s="161">
        <v>1</v>
      </c>
      <c r="O201" s="162">
        <v>1</v>
      </c>
      <c r="P201" s="198">
        <v>0</v>
      </c>
      <c r="Q201" s="198">
        <v>0</v>
      </c>
      <c r="R201" s="199">
        <v>0</v>
      </c>
      <c r="S201" s="199">
        <v>0</v>
      </c>
      <c r="T201" s="199">
        <v>0</v>
      </c>
      <c r="U201" s="200">
        <v>0</v>
      </c>
      <c r="V201" s="199">
        <v>0</v>
      </c>
      <c r="W201" s="199">
        <v>0</v>
      </c>
      <c r="X201" s="199">
        <v>0</v>
      </c>
      <c r="Y201" s="201">
        <v>0</v>
      </c>
      <c r="Z201" s="202">
        <v>0</v>
      </c>
      <c r="AA201" s="203">
        <v>0</v>
      </c>
      <c r="AB201" s="198">
        <v>0</v>
      </c>
      <c r="AC201" s="175"/>
      <c r="AD201" s="241">
        <v>0.66249999999999998</v>
      </c>
      <c r="AE201" s="278">
        <v>0.73263888888888884</v>
      </c>
      <c r="AF201" s="16" t="s">
        <v>98</v>
      </c>
      <c r="AG201" s="174" t="s">
        <v>99</v>
      </c>
    </row>
    <row r="202" spans="1:34" ht="15.75" x14ac:dyDescent="0.25">
      <c r="A202" s="267">
        <v>46049</v>
      </c>
      <c r="B202" s="108" t="s">
        <v>761</v>
      </c>
      <c r="C202" s="160"/>
      <c r="D202" s="160"/>
      <c r="E202" s="160"/>
      <c r="F202" s="160">
        <v>1</v>
      </c>
      <c r="G202" s="160"/>
      <c r="H202" s="160"/>
      <c r="I202" s="160"/>
      <c r="J202" s="160"/>
      <c r="K202" s="165" t="s">
        <v>576</v>
      </c>
      <c r="L202" s="108" t="s">
        <v>762</v>
      </c>
      <c r="M202" s="96" t="s">
        <v>763</v>
      </c>
      <c r="N202" s="161">
        <v>1</v>
      </c>
      <c r="O202" s="162">
        <v>1</v>
      </c>
      <c r="P202" s="198">
        <v>0</v>
      </c>
      <c r="Q202" s="198">
        <v>0</v>
      </c>
      <c r="R202" s="199">
        <v>0</v>
      </c>
      <c r="S202" s="199">
        <v>0</v>
      </c>
      <c r="T202" s="199">
        <v>0</v>
      </c>
      <c r="U202" s="200">
        <v>0</v>
      </c>
      <c r="V202" s="199">
        <v>0</v>
      </c>
      <c r="W202" s="199">
        <v>0</v>
      </c>
      <c r="X202" s="199">
        <v>0</v>
      </c>
      <c r="Y202" s="201">
        <v>0</v>
      </c>
      <c r="Z202" s="202">
        <v>0</v>
      </c>
      <c r="AA202" s="203">
        <v>0</v>
      </c>
      <c r="AB202" s="198">
        <v>0</v>
      </c>
      <c r="AC202" s="175"/>
      <c r="AD202" s="241">
        <v>0.66666666666666663</v>
      </c>
      <c r="AE202" s="278">
        <v>0.73611111111111116</v>
      </c>
      <c r="AF202" s="16" t="s">
        <v>168</v>
      </c>
      <c r="AG202" s="174" t="s">
        <v>99</v>
      </c>
    </row>
    <row r="203" spans="1:34" s="91" customFormat="1" ht="15.75" x14ac:dyDescent="0.25">
      <c r="A203" s="176">
        <v>46050</v>
      </c>
      <c r="B203" s="184" t="s">
        <v>764</v>
      </c>
      <c r="C203" s="164"/>
      <c r="D203" s="164"/>
      <c r="E203" s="164"/>
      <c r="F203" s="164">
        <v>1</v>
      </c>
      <c r="G203" s="164"/>
      <c r="H203" s="164"/>
      <c r="I203" s="164"/>
      <c r="J203" s="164"/>
      <c r="K203" s="164" t="s">
        <v>765</v>
      </c>
      <c r="L203" s="184" t="s">
        <v>766</v>
      </c>
      <c r="M203" s="187" t="s">
        <v>767</v>
      </c>
      <c r="N203" s="169">
        <v>1</v>
      </c>
      <c r="O203" s="170">
        <v>1</v>
      </c>
      <c r="P203" s="198">
        <v>0</v>
      </c>
      <c r="Q203" s="198">
        <v>0</v>
      </c>
      <c r="R203" s="199">
        <v>0</v>
      </c>
      <c r="S203" s="199">
        <v>0</v>
      </c>
      <c r="T203" s="199">
        <v>0</v>
      </c>
      <c r="U203" s="200">
        <v>0</v>
      </c>
      <c r="V203" s="199">
        <v>0</v>
      </c>
      <c r="W203" s="199">
        <v>0</v>
      </c>
      <c r="X203" s="199">
        <v>0</v>
      </c>
      <c r="Y203" s="201">
        <v>0</v>
      </c>
      <c r="Z203" s="202">
        <v>0</v>
      </c>
      <c r="AA203" s="203">
        <v>0</v>
      </c>
      <c r="AB203" s="198">
        <v>0</v>
      </c>
      <c r="AC203" s="175">
        <v>27</v>
      </c>
      <c r="AD203" s="241">
        <v>0.65972222222222221</v>
      </c>
      <c r="AE203" s="241">
        <v>0.38194444444444442</v>
      </c>
      <c r="AF203" s="185" t="s">
        <v>98</v>
      </c>
      <c r="AG203" s="174" t="s">
        <v>99</v>
      </c>
      <c r="AH203" s="293"/>
    </row>
    <row r="204" spans="1:34" s="91" customFormat="1" ht="15.75" x14ac:dyDescent="0.25">
      <c r="A204" s="176">
        <v>46050</v>
      </c>
      <c r="B204" s="184" t="s">
        <v>828</v>
      </c>
      <c r="C204" s="164"/>
      <c r="D204" s="164"/>
      <c r="E204" s="164"/>
      <c r="F204" s="164"/>
      <c r="G204" s="164"/>
      <c r="H204" s="164"/>
      <c r="I204" s="164">
        <v>1</v>
      </c>
      <c r="J204" s="164"/>
      <c r="K204" s="164" t="s">
        <v>829</v>
      </c>
      <c r="L204" s="184" t="s">
        <v>830</v>
      </c>
      <c r="M204" s="187" t="s">
        <v>831</v>
      </c>
      <c r="N204" s="169">
        <v>1</v>
      </c>
      <c r="O204" s="170">
        <v>1</v>
      </c>
      <c r="P204" s="198">
        <v>0</v>
      </c>
      <c r="Q204" s="198">
        <v>0</v>
      </c>
      <c r="R204" s="199">
        <v>0</v>
      </c>
      <c r="S204" s="199">
        <v>0</v>
      </c>
      <c r="T204" s="199">
        <v>0</v>
      </c>
      <c r="U204" s="200">
        <v>0</v>
      </c>
      <c r="V204" s="199">
        <v>0</v>
      </c>
      <c r="W204" s="199">
        <v>0</v>
      </c>
      <c r="X204" s="199">
        <v>0</v>
      </c>
      <c r="Y204" s="201">
        <v>0</v>
      </c>
      <c r="Z204" s="202">
        <v>0</v>
      </c>
      <c r="AA204" s="203">
        <v>0</v>
      </c>
      <c r="AB204" s="198">
        <v>0</v>
      </c>
      <c r="AC204" s="175"/>
      <c r="AD204" s="241"/>
      <c r="AE204" s="241"/>
      <c r="AF204" s="185" t="s">
        <v>98</v>
      </c>
      <c r="AG204" s="174"/>
      <c r="AH204" s="293"/>
    </row>
    <row r="205" spans="1:34" s="91" customFormat="1" ht="15.75" x14ac:dyDescent="0.25">
      <c r="A205" s="176">
        <v>46050</v>
      </c>
      <c r="B205" s="184" t="s">
        <v>768</v>
      </c>
      <c r="C205" s="164"/>
      <c r="D205" s="164"/>
      <c r="E205" s="164"/>
      <c r="F205" s="164"/>
      <c r="G205" s="164"/>
      <c r="H205" s="164"/>
      <c r="I205" s="164">
        <v>1</v>
      </c>
      <c r="J205" s="164"/>
      <c r="K205" s="164" t="s">
        <v>653</v>
      </c>
      <c r="L205" s="184" t="s">
        <v>769</v>
      </c>
      <c r="M205" s="187" t="s">
        <v>770</v>
      </c>
      <c r="N205" s="169">
        <v>1</v>
      </c>
      <c r="O205" s="170">
        <v>1</v>
      </c>
      <c r="P205" s="198">
        <v>0</v>
      </c>
      <c r="Q205" s="198">
        <v>0</v>
      </c>
      <c r="R205" s="199">
        <v>0</v>
      </c>
      <c r="S205" s="199">
        <v>0</v>
      </c>
      <c r="T205" s="199">
        <v>0</v>
      </c>
      <c r="U205" s="200">
        <v>0</v>
      </c>
      <c r="V205" s="199">
        <v>0</v>
      </c>
      <c r="W205" s="199">
        <v>0</v>
      </c>
      <c r="X205" s="199">
        <v>0</v>
      </c>
      <c r="Y205" s="201">
        <v>0</v>
      </c>
      <c r="Z205" s="202">
        <v>0</v>
      </c>
      <c r="AA205" s="203">
        <v>0</v>
      </c>
      <c r="AB205" s="198">
        <v>0</v>
      </c>
      <c r="AC205" s="175"/>
      <c r="AD205" s="241">
        <v>0.38541666666666669</v>
      </c>
      <c r="AE205" s="241">
        <v>0.39930555555555558</v>
      </c>
      <c r="AF205" s="185" t="s">
        <v>98</v>
      </c>
      <c r="AG205" s="174" t="s">
        <v>99</v>
      </c>
      <c r="AH205" s="293"/>
    </row>
    <row r="206" spans="1:34" s="91" customFormat="1" ht="15.75" x14ac:dyDescent="0.25">
      <c r="A206" s="176">
        <v>46050</v>
      </c>
      <c r="B206" s="184" t="s">
        <v>771</v>
      </c>
      <c r="C206" s="164"/>
      <c r="D206" s="164"/>
      <c r="E206" s="164"/>
      <c r="F206" s="164">
        <v>1</v>
      </c>
      <c r="G206" s="164"/>
      <c r="H206" s="164"/>
      <c r="I206" s="164"/>
      <c r="J206" s="164"/>
      <c r="K206" s="164" t="s">
        <v>765</v>
      </c>
      <c r="L206" s="184" t="s">
        <v>766</v>
      </c>
      <c r="M206" s="187" t="s">
        <v>772</v>
      </c>
      <c r="N206" s="169">
        <v>1</v>
      </c>
      <c r="O206" s="170">
        <v>1</v>
      </c>
      <c r="P206" s="198">
        <v>0</v>
      </c>
      <c r="Q206" s="198">
        <v>0</v>
      </c>
      <c r="R206" s="199">
        <v>0</v>
      </c>
      <c r="S206" s="199">
        <v>0</v>
      </c>
      <c r="T206" s="199">
        <v>0</v>
      </c>
      <c r="U206" s="200">
        <v>0</v>
      </c>
      <c r="V206" s="199">
        <v>0</v>
      </c>
      <c r="W206" s="199">
        <v>0</v>
      </c>
      <c r="X206" s="199">
        <v>0</v>
      </c>
      <c r="Y206" s="201">
        <v>0</v>
      </c>
      <c r="Z206" s="202">
        <v>0</v>
      </c>
      <c r="AA206" s="203">
        <v>0</v>
      </c>
      <c r="AB206" s="198">
        <v>0</v>
      </c>
      <c r="AC206" s="175"/>
      <c r="AD206" s="241">
        <v>0.3840277777777778</v>
      </c>
      <c r="AE206" s="241">
        <v>0.54166666666666663</v>
      </c>
      <c r="AF206" s="185" t="s">
        <v>98</v>
      </c>
      <c r="AG206" s="174" t="s">
        <v>99</v>
      </c>
      <c r="AH206" s="293"/>
    </row>
    <row r="207" spans="1:34" s="91" customFormat="1" ht="15.75" x14ac:dyDescent="0.25">
      <c r="A207" s="176">
        <v>46050</v>
      </c>
      <c r="B207" s="184" t="s">
        <v>773</v>
      </c>
      <c r="C207" s="164"/>
      <c r="D207" s="164"/>
      <c r="E207" s="164"/>
      <c r="F207" s="164">
        <v>2</v>
      </c>
      <c r="G207" s="164"/>
      <c r="H207" s="164"/>
      <c r="I207" s="164"/>
      <c r="J207" s="164"/>
      <c r="K207" s="164" t="s">
        <v>774</v>
      </c>
      <c r="L207" s="184" t="s">
        <v>775</v>
      </c>
      <c r="M207" s="187" t="s">
        <v>776</v>
      </c>
      <c r="N207" s="169">
        <v>2</v>
      </c>
      <c r="O207" s="170">
        <v>2</v>
      </c>
      <c r="P207" s="198">
        <v>0</v>
      </c>
      <c r="Q207" s="198">
        <v>0</v>
      </c>
      <c r="R207" s="199">
        <v>0</v>
      </c>
      <c r="S207" s="199">
        <v>0</v>
      </c>
      <c r="T207" s="199">
        <v>0</v>
      </c>
      <c r="U207" s="200">
        <v>0</v>
      </c>
      <c r="V207" s="199">
        <v>0</v>
      </c>
      <c r="W207" s="199">
        <v>0</v>
      </c>
      <c r="X207" s="199">
        <v>0</v>
      </c>
      <c r="Y207" s="201">
        <v>0</v>
      </c>
      <c r="Z207" s="202">
        <v>0</v>
      </c>
      <c r="AA207" s="203">
        <v>0</v>
      </c>
      <c r="AB207" s="198">
        <v>0</v>
      </c>
      <c r="AC207" s="175"/>
      <c r="AD207" s="241">
        <v>0.43402777777777773</v>
      </c>
      <c r="AE207" s="241">
        <v>0.59305555555555556</v>
      </c>
      <c r="AF207" s="185" t="s">
        <v>98</v>
      </c>
      <c r="AG207" s="174" t="s">
        <v>99</v>
      </c>
      <c r="AH207" s="293"/>
    </row>
    <row r="208" spans="1:34" s="91" customFormat="1" ht="15.75" x14ac:dyDescent="0.25">
      <c r="A208" s="176">
        <v>46050</v>
      </c>
      <c r="B208" s="184" t="s">
        <v>777</v>
      </c>
      <c r="C208" s="164"/>
      <c r="D208" s="164"/>
      <c r="E208" s="164"/>
      <c r="F208" s="164"/>
      <c r="G208" s="164"/>
      <c r="H208" s="164">
        <v>2</v>
      </c>
      <c r="I208" s="164"/>
      <c r="J208" s="164"/>
      <c r="K208" s="164" t="s">
        <v>529</v>
      </c>
      <c r="L208" s="184" t="s">
        <v>778</v>
      </c>
      <c r="M208" s="187" t="s">
        <v>779</v>
      </c>
      <c r="N208" s="169">
        <v>2</v>
      </c>
      <c r="O208" s="170">
        <v>2</v>
      </c>
      <c r="P208" s="198">
        <v>0</v>
      </c>
      <c r="Q208" s="198">
        <v>0</v>
      </c>
      <c r="R208" s="199">
        <v>0</v>
      </c>
      <c r="S208" s="199">
        <v>0</v>
      </c>
      <c r="T208" s="199">
        <v>0</v>
      </c>
      <c r="U208" s="200">
        <v>0</v>
      </c>
      <c r="V208" s="199">
        <v>0</v>
      </c>
      <c r="W208" s="199">
        <v>0</v>
      </c>
      <c r="X208" s="199">
        <v>0</v>
      </c>
      <c r="Y208" s="201">
        <v>0</v>
      </c>
      <c r="Z208" s="202">
        <v>0</v>
      </c>
      <c r="AA208" s="203">
        <v>0</v>
      </c>
      <c r="AB208" s="198">
        <v>0</v>
      </c>
      <c r="AC208" s="175"/>
      <c r="AD208" s="241">
        <v>0.58333333333333337</v>
      </c>
      <c r="AE208" s="241">
        <v>0.61111111111111105</v>
      </c>
      <c r="AF208" s="185" t="s">
        <v>168</v>
      </c>
      <c r="AG208" s="174" t="s">
        <v>99</v>
      </c>
      <c r="AH208" s="293" t="s">
        <v>780</v>
      </c>
    </row>
    <row r="209" spans="1:34" s="91" customFormat="1" ht="15.75" x14ac:dyDescent="0.25">
      <c r="A209" s="176">
        <v>46050</v>
      </c>
      <c r="B209" s="184" t="s">
        <v>784</v>
      </c>
      <c r="C209" s="164"/>
      <c r="D209" s="164"/>
      <c r="E209" s="164"/>
      <c r="F209" s="164">
        <v>1</v>
      </c>
      <c r="G209" s="164"/>
      <c r="H209" s="164"/>
      <c r="I209" s="164"/>
      <c r="J209" s="164"/>
      <c r="K209" s="164" t="s">
        <v>783</v>
      </c>
      <c r="L209" s="184" t="s">
        <v>782</v>
      </c>
      <c r="M209" s="187" t="s">
        <v>781</v>
      </c>
      <c r="N209" s="169">
        <v>1</v>
      </c>
      <c r="O209" s="170">
        <v>1</v>
      </c>
      <c r="P209" s="198">
        <v>0</v>
      </c>
      <c r="Q209" s="198">
        <v>0</v>
      </c>
      <c r="R209" s="199">
        <v>0</v>
      </c>
      <c r="S209" s="199">
        <v>0</v>
      </c>
      <c r="T209" s="199">
        <v>0</v>
      </c>
      <c r="U209" s="200">
        <v>0</v>
      </c>
      <c r="V209" s="199">
        <v>0</v>
      </c>
      <c r="W209" s="199">
        <v>0</v>
      </c>
      <c r="X209" s="199">
        <v>0</v>
      </c>
      <c r="Y209" s="201">
        <v>0</v>
      </c>
      <c r="Z209" s="202">
        <v>0</v>
      </c>
      <c r="AA209" s="203">
        <v>0</v>
      </c>
      <c r="AB209" s="198">
        <v>0</v>
      </c>
      <c r="AC209" s="175"/>
      <c r="AD209" s="241">
        <v>0.38541666666666669</v>
      </c>
      <c r="AE209" s="241">
        <v>0.625</v>
      </c>
      <c r="AF209" s="185" t="s">
        <v>98</v>
      </c>
      <c r="AG209" s="174" t="s">
        <v>99</v>
      </c>
      <c r="AH209" s="293"/>
    </row>
    <row r="210" spans="1:34" s="91" customFormat="1" ht="15.75" x14ac:dyDescent="0.25">
      <c r="A210" s="176">
        <v>46050</v>
      </c>
      <c r="B210" s="184" t="s">
        <v>785</v>
      </c>
      <c r="C210" s="164">
        <v>1</v>
      </c>
      <c r="D210" s="164"/>
      <c r="E210" s="164">
        <v>1</v>
      </c>
      <c r="F210" s="164"/>
      <c r="G210" s="164"/>
      <c r="H210" s="164"/>
      <c r="I210" s="164"/>
      <c r="J210" s="164"/>
      <c r="K210" s="164" t="s">
        <v>765</v>
      </c>
      <c r="L210" s="184" t="s">
        <v>766</v>
      </c>
      <c r="M210" s="187" t="s">
        <v>786</v>
      </c>
      <c r="N210" s="169">
        <v>1</v>
      </c>
      <c r="O210" s="170">
        <v>1</v>
      </c>
      <c r="P210" s="198">
        <v>0</v>
      </c>
      <c r="Q210" s="198">
        <v>0</v>
      </c>
      <c r="R210" s="199">
        <v>0</v>
      </c>
      <c r="S210" s="199">
        <v>0</v>
      </c>
      <c r="T210" s="199">
        <v>0</v>
      </c>
      <c r="U210" s="200">
        <v>0</v>
      </c>
      <c r="V210" s="199">
        <v>0</v>
      </c>
      <c r="W210" s="199">
        <v>0</v>
      </c>
      <c r="X210" s="199">
        <v>0</v>
      </c>
      <c r="Y210" s="201">
        <v>0</v>
      </c>
      <c r="Z210" s="202">
        <v>0</v>
      </c>
      <c r="AA210" s="203">
        <v>0</v>
      </c>
      <c r="AB210" s="198">
        <v>0</v>
      </c>
      <c r="AC210" s="175"/>
      <c r="AD210" s="241">
        <v>0.60416666666666663</v>
      </c>
      <c r="AE210" s="241">
        <v>0.69444444444444453</v>
      </c>
      <c r="AF210" s="185" t="s">
        <v>168</v>
      </c>
      <c r="AG210" s="174" t="s">
        <v>99</v>
      </c>
      <c r="AH210" s="293"/>
    </row>
    <row r="211" spans="1:34" s="91" customFormat="1" ht="15.75" x14ac:dyDescent="0.25">
      <c r="A211" s="176">
        <v>46050</v>
      </c>
      <c r="B211" s="184" t="s">
        <v>787</v>
      </c>
      <c r="C211" s="164"/>
      <c r="D211" s="164"/>
      <c r="E211" s="164"/>
      <c r="F211" s="164">
        <v>1</v>
      </c>
      <c r="G211" s="164"/>
      <c r="H211" s="164"/>
      <c r="I211" s="164"/>
      <c r="J211" s="164"/>
      <c r="K211" s="164" t="s">
        <v>788</v>
      </c>
      <c r="L211" s="184" t="s">
        <v>789</v>
      </c>
      <c r="M211" s="187" t="s">
        <v>790</v>
      </c>
      <c r="N211" s="169">
        <v>1</v>
      </c>
      <c r="O211" s="170">
        <v>1</v>
      </c>
      <c r="P211" s="198">
        <v>0</v>
      </c>
      <c r="Q211" s="198">
        <v>0</v>
      </c>
      <c r="R211" s="199">
        <v>0</v>
      </c>
      <c r="S211" s="199">
        <v>0</v>
      </c>
      <c r="T211" s="199">
        <v>0</v>
      </c>
      <c r="U211" s="200">
        <v>0</v>
      </c>
      <c r="V211" s="199">
        <v>0</v>
      </c>
      <c r="W211" s="199">
        <v>0</v>
      </c>
      <c r="X211" s="199">
        <v>0</v>
      </c>
      <c r="Y211" s="201">
        <v>0</v>
      </c>
      <c r="Z211" s="202">
        <v>0</v>
      </c>
      <c r="AA211" s="203">
        <v>0</v>
      </c>
      <c r="AB211" s="198">
        <v>0</v>
      </c>
      <c r="AC211" s="175"/>
      <c r="AD211" s="164"/>
      <c r="AE211" s="164"/>
      <c r="AF211" s="185" t="s">
        <v>168</v>
      </c>
      <c r="AG211" s="174" t="s">
        <v>99</v>
      </c>
      <c r="AH211" s="293"/>
    </row>
    <row r="212" spans="1:34" s="91" customFormat="1" ht="15.75" x14ac:dyDescent="0.25">
      <c r="A212" s="176">
        <v>46050</v>
      </c>
      <c r="B212" s="184" t="s">
        <v>791</v>
      </c>
      <c r="C212" s="164"/>
      <c r="D212" s="164"/>
      <c r="E212" s="164"/>
      <c r="F212" s="164">
        <v>2</v>
      </c>
      <c r="G212" s="164"/>
      <c r="H212" s="164"/>
      <c r="I212" s="164"/>
      <c r="J212" s="164"/>
      <c r="K212" s="164" t="s">
        <v>774</v>
      </c>
      <c r="L212" s="184" t="s">
        <v>775</v>
      </c>
      <c r="M212" s="187" t="s">
        <v>792</v>
      </c>
      <c r="N212" s="169">
        <v>2</v>
      </c>
      <c r="O212" s="170">
        <v>2</v>
      </c>
      <c r="P212" s="198">
        <v>0</v>
      </c>
      <c r="Q212" s="198">
        <v>0</v>
      </c>
      <c r="R212" s="199">
        <v>0</v>
      </c>
      <c r="S212" s="199">
        <v>0</v>
      </c>
      <c r="T212" s="199">
        <v>0</v>
      </c>
      <c r="U212" s="200">
        <v>0</v>
      </c>
      <c r="V212" s="199">
        <v>0</v>
      </c>
      <c r="W212" s="199">
        <v>0</v>
      </c>
      <c r="X212" s="199">
        <v>0</v>
      </c>
      <c r="Y212" s="201">
        <v>0</v>
      </c>
      <c r="Z212" s="202">
        <v>0</v>
      </c>
      <c r="AA212" s="203">
        <v>0</v>
      </c>
      <c r="AB212" s="198">
        <v>0</v>
      </c>
      <c r="AC212" s="175"/>
      <c r="AD212" s="241">
        <v>0.3576388888888889</v>
      </c>
      <c r="AE212" s="241">
        <v>0.69444444444444453</v>
      </c>
      <c r="AF212" s="185" t="s">
        <v>98</v>
      </c>
      <c r="AG212" s="174" t="s">
        <v>99</v>
      </c>
      <c r="AH212" s="293"/>
    </row>
    <row r="213" spans="1:34" s="91" customFormat="1" ht="15.75" x14ac:dyDescent="0.25">
      <c r="A213" s="176">
        <v>46050</v>
      </c>
      <c r="B213" s="184" t="s">
        <v>149</v>
      </c>
      <c r="C213" s="164"/>
      <c r="D213" s="164"/>
      <c r="E213" s="164"/>
      <c r="F213" s="164">
        <v>1</v>
      </c>
      <c r="G213" s="164"/>
      <c r="H213" s="164"/>
      <c r="I213" s="164"/>
      <c r="J213" s="164"/>
      <c r="K213" s="164" t="s">
        <v>150</v>
      </c>
      <c r="L213" s="184" t="s">
        <v>247</v>
      </c>
      <c r="M213" s="187" t="s">
        <v>793</v>
      </c>
      <c r="N213" s="169">
        <v>1</v>
      </c>
      <c r="O213" s="170">
        <v>1</v>
      </c>
      <c r="P213" s="198">
        <v>0</v>
      </c>
      <c r="Q213" s="198">
        <v>0</v>
      </c>
      <c r="R213" s="199">
        <v>0</v>
      </c>
      <c r="S213" s="199">
        <v>0</v>
      </c>
      <c r="T213" s="199">
        <v>0</v>
      </c>
      <c r="U213" s="200">
        <v>0</v>
      </c>
      <c r="V213" s="199">
        <v>0</v>
      </c>
      <c r="W213" s="199">
        <v>0</v>
      </c>
      <c r="X213" s="199">
        <v>0</v>
      </c>
      <c r="Y213" s="201">
        <v>0</v>
      </c>
      <c r="Z213" s="202">
        <v>0</v>
      </c>
      <c r="AA213" s="203">
        <v>0</v>
      </c>
      <c r="AB213" s="198">
        <v>0</v>
      </c>
      <c r="AC213" s="175"/>
      <c r="AD213" s="241">
        <v>0.64583333333333337</v>
      </c>
      <c r="AE213" s="241">
        <v>0.70833333333333337</v>
      </c>
      <c r="AF213" s="185" t="s">
        <v>99</v>
      </c>
      <c r="AG213" s="174" t="s">
        <v>99</v>
      </c>
      <c r="AH213" s="293"/>
    </row>
    <row r="214" spans="1:34" s="91" customFormat="1" ht="15.75" x14ac:dyDescent="0.25">
      <c r="A214" s="176">
        <v>46050</v>
      </c>
      <c r="B214" s="184" t="s">
        <v>794</v>
      </c>
      <c r="C214" s="164">
        <v>1</v>
      </c>
      <c r="D214" s="164"/>
      <c r="E214" s="164">
        <v>1</v>
      </c>
      <c r="F214" s="164"/>
      <c r="G214" s="164"/>
      <c r="H214" s="164"/>
      <c r="I214" s="164"/>
      <c r="J214" s="164"/>
      <c r="K214" s="164" t="s">
        <v>765</v>
      </c>
      <c r="L214" s="184" t="s">
        <v>766</v>
      </c>
      <c r="M214" s="187" t="s">
        <v>786</v>
      </c>
      <c r="N214" s="169">
        <v>1</v>
      </c>
      <c r="O214" s="170">
        <v>1</v>
      </c>
      <c r="P214" s="198">
        <v>0</v>
      </c>
      <c r="Q214" s="198">
        <v>0</v>
      </c>
      <c r="R214" s="199">
        <v>0</v>
      </c>
      <c r="S214" s="199">
        <v>0</v>
      </c>
      <c r="T214" s="199">
        <v>0</v>
      </c>
      <c r="U214" s="200">
        <v>0</v>
      </c>
      <c r="V214" s="199">
        <v>0</v>
      </c>
      <c r="W214" s="199">
        <v>0</v>
      </c>
      <c r="X214" s="199">
        <v>0</v>
      </c>
      <c r="Y214" s="201">
        <v>0</v>
      </c>
      <c r="Z214" s="202">
        <v>0</v>
      </c>
      <c r="AA214" s="203">
        <v>0</v>
      </c>
      <c r="AB214" s="198">
        <v>0</v>
      </c>
      <c r="AC214" s="175"/>
      <c r="AD214" s="241">
        <v>0.6118055555555556</v>
      </c>
      <c r="AE214" s="241">
        <v>0.70833333333333337</v>
      </c>
      <c r="AF214" s="185" t="s">
        <v>117</v>
      </c>
      <c r="AG214" s="174" t="s">
        <v>99</v>
      </c>
      <c r="AH214" s="293"/>
    </row>
    <row r="215" spans="1:34" s="91" customFormat="1" ht="15.75" x14ac:dyDescent="0.25">
      <c r="A215" s="176">
        <v>46050</v>
      </c>
      <c r="B215" s="184" t="s">
        <v>795</v>
      </c>
      <c r="C215" s="164"/>
      <c r="D215" s="164"/>
      <c r="E215" s="164"/>
      <c r="F215" s="164">
        <v>1</v>
      </c>
      <c r="G215" s="164"/>
      <c r="H215" s="164"/>
      <c r="I215" s="164"/>
      <c r="J215" s="164"/>
      <c r="K215" s="164" t="s">
        <v>783</v>
      </c>
      <c r="L215" s="184" t="s">
        <v>782</v>
      </c>
      <c r="M215" s="187" t="s">
        <v>796</v>
      </c>
      <c r="N215" s="169">
        <v>1</v>
      </c>
      <c r="O215" s="170">
        <v>1</v>
      </c>
      <c r="P215" s="198">
        <v>0</v>
      </c>
      <c r="Q215" s="198">
        <v>0</v>
      </c>
      <c r="R215" s="199">
        <v>0</v>
      </c>
      <c r="S215" s="199">
        <v>0</v>
      </c>
      <c r="T215" s="199">
        <v>0</v>
      </c>
      <c r="U215" s="200">
        <v>0</v>
      </c>
      <c r="V215" s="199">
        <v>0</v>
      </c>
      <c r="W215" s="199">
        <v>0</v>
      </c>
      <c r="X215" s="199">
        <v>0</v>
      </c>
      <c r="Y215" s="201">
        <v>0</v>
      </c>
      <c r="Z215" s="202">
        <v>0</v>
      </c>
      <c r="AA215" s="203">
        <v>0</v>
      </c>
      <c r="AB215" s="198">
        <v>0</v>
      </c>
      <c r="AC215" s="175"/>
      <c r="AD215" s="241">
        <v>0.70138888888888884</v>
      </c>
      <c r="AE215" s="241">
        <v>0.71875</v>
      </c>
      <c r="AF215" s="185" t="s">
        <v>99</v>
      </c>
      <c r="AG215" s="185" t="s">
        <v>99</v>
      </c>
      <c r="AH215" s="293"/>
    </row>
    <row r="216" spans="1:34" s="91" customFormat="1" ht="15.75" x14ac:dyDescent="0.25">
      <c r="A216" s="176">
        <v>46050</v>
      </c>
      <c r="B216" s="184" t="s">
        <v>797</v>
      </c>
      <c r="C216" s="164"/>
      <c r="D216" s="164"/>
      <c r="E216" s="164"/>
      <c r="F216" s="164">
        <v>1</v>
      </c>
      <c r="G216" s="164"/>
      <c r="H216" s="164"/>
      <c r="I216" s="164"/>
      <c r="J216" s="164"/>
      <c r="K216" s="164" t="s">
        <v>798</v>
      </c>
      <c r="L216" s="184" t="s">
        <v>799</v>
      </c>
      <c r="M216" s="187" t="s">
        <v>800</v>
      </c>
      <c r="N216" s="169">
        <v>1</v>
      </c>
      <c r="O216" s="170">
        <v>1</v>
      </c>
      <c r="P216" s="198">
        <v>0</v>
      </c>
      <c r="Q216" s="198">
        <v>0</v>
      </c>
      <c r="R216" s="199">
        <v>0</v>
      </c>
      <c r="S216" s="199">
        <v>0</v>
      </c>
      <c r="T216" s="199">
        <v>0</v>
      </c>
      <c r="U216" s="200">
        <v>0</v>
      </c>
      <c r="V216" s="199">
        <v>0</v>
      </c>
      <c r="W216" s="199">
        <v>0</v>
      </c>
      <c r="X216" s="199">
        <v>0</v>
      </c>
      <c r="Y216" s="201">
        <v>0</v>
      </c>
      <c r="Z216" s="202">
        <v>0</v>
      </c>
      <c r="AA216" s="203">
        <v>0</v>
      </c>
      <c r="AB216" s="198">
        <v>0</v>
      </c>
      <c r="AC216" s="175"/>
      <c r="AD216" s="241">
        <v>0.56944444444444442</v>
      </c>
      <c r="AE216" s="241">
        <v>0.7284722222222223</v>
      </c>
      <c r="AF216" s="185" t="s">
        <v>98</v>
      </c>
      <c r="AG216" s="185" t="s">
        <v>99</v>
      </c>
      <c r="AH216" s="293"/>
    </row>
    <row r="217" spans="1:34" s="91" customFormat="1" ht="15.75" x14ac:dyDescent="0.25">
      <c r="A217" s="176">
        <v>46050</v>
      </c>
      <c r="B217" s="184" t="s">
        <v>801</v>
      </c>
      <c r="C217" s="164">
        <v>1</v>
      </c>
      <c r="D217" s="164"/>
      <c r="E217" s="164">
        <v>1</v>
      </c>
      <c r="F217" s="164"/>
      <c r="G217" s="164"/>
      <c r="H217" s="164"/>
      <c r="I217" s="164"/>
      <c r="J217" s="164"/>
      <c r="K217" s="164" t="s">
        <v>802</v>
      </c>
      <c r="L217" s="184" t="s">
        <v>803</v>
      </c>
      <c r="M217" s="187" t="s">
        <v>804</v>
      </c>
      <c r="N217" s="169">
        <v>1</v>
      </c>
      <c r="O217" s="170">
        <v>1</v>
      </c>
      <c r="P217" s="198">
        <v>0</v>
      </c>
      <c r="Q217" s="198">
        <v>0</v>
      </c>
      <c r="R217" s="199">
        <v>0</v>
      </c>
      <c r="S217" s="199">
        <v>0</v>
      </c>
      <c r="T217" s="199">
        <v>0</v>
      </c>
      <c r="U217" s="200">
        <v>0</v>
      </c>
      <c r="V217" s="199">
        <v>0</v>
      </c>
      <c r="W217" s="199">
        <v>0</v>
      </c>
      <c r="X217" s="199">
        <v>0</v>
      </c>
      <c r="Y217" s="201">
        <v>0</v>
      </c>
      <c r="Z217" s="202">
        <v>0</v>
      </c>
      <c r="AA217" s="203">
        <v>0</v>
      </c>
      <c r="AB217" s="198">
        <v>0</v>
      </c>
      <c r="AC217" s="175"/>
      <c r="AD217" s="164"/>
      <c r="AE217" s="241">
        <v>0.73611111111111116</v>
      </c>
      <c r="AF217" s="185" t="s">
        <v>99</v>
      </c>
      <c r="AG217" s="185" t="s">
        <v>99</v>
      </c>
      <c r="AH217" s="293" t="s">
        <v>805</v>
      </c>
    </row>
    <row r="218" spans="1:34" s="91" customFormat="1" ht="15.75" x14ac:dyDescent="0.25">
      <c r="A218" s="176">
        <v>46050</v>
      </c>
      <c r="B218" s="184" t="s">
        <v>806</v>
      </c>
      <c r="C218" s="164"/>
      <c r="D218" s="164"/>
      <c r="E218" s="164"/>
      <c r="F218" s="164">
        <v>1</v>
      </c>
      <c r="G218" s="164"/>
      <c r="H218" s="164"/>
      <c r="I218" s="164"/>
      <c r="J218" s="164"/>
      <c r="K218" s="164" t="s">
        <v>808</v>
      </c>
      <c r="L218" s="184" t="s">
        <v>809</v>
      </c>
      <c r="M218" s="187" t="s">
        <v>810</v>
      </c>
      <c r="N218" s="169">
        <v>1</v>
      </c>
      <c r="O218" s="170">
        <v>1</v>
      </c>
      <c r="P218" s="198">
        <v>0</v>
      </c>
      <c r="Q218" s="198">
        <v>0</v>
      </c>
      <c r="R218" s="199">
        <v>0</v>
      </c>
      <c r="S218" s="199">
        <v>0</v>
      </c>
      <c r="T218" s="199">
        <v>0</v>
      </c>
      <c r="U218" s="200">
        <v>0</v>
      </c>
      <c r="V218" s="199">
        <v>0</v>
      </c>
      <c r="W218" s="199">
        <v>0</v>
      </c>
      <c r="X218" s="199">
        <v>0</v>
      </c>
      <c r="Y218" s="201">
        <v>0</v>
      </c>
      <c r="Z218" s="202">
        <v>0</v>
      </c>
      <c r="AA218" s="203">
        <v>0</v>
      </c>
      <c r="AB218" s="198">
        <v>0</v>
      </c>
      <c r="AC218" s="175"/>
      <c r="AD218" s="241">
        <v>0.74305555555555547</v>
      </c>
      <c r="AE218" s="241">
        <v>0.75</v>
      </c>
      <c r="AF218" s="185" t="s">
        <v>117</v>
      </c>
      <c r="AG218" s="185" t="s">
        <v>99</v>
      </c>
      <c r="AH218" s="293"/>
    </row>
    <row r="219" spans="1:34" s="91" customFormat="1" ht="15.75" x14ac:dyDescent="0.25">
      <c r="A219" s="176">
        <v>46050</v>
      </c>
      <c r="B219" s="184" t="s">
        <v>807</v>
      </c>
      <c r="C219" s="164"/>
      <c r="D219" s="164"/>
      <c r="E219" s="164"/>
      <c r="F219" s="164">
        <v>1</v>
      </c>
      <c r="G219" s="164"/>
      <c r="H219" s="164"/>
      <c r="I219" s="164"/>
      <c r="J219" s="164"/>
      <c r="K219" s="164" t="s">
        <v>808</v>
      </c>
      <c r="L219" s="184" t="s">
        <v>809</v>
      </c>
      <c r="M219" s="187" t="s">
        <v>811</v>
      </c>
      <c r="N219" s="169">
        <v>1</v>
      </c>
      <c r="O219" s="170">
        <v>1</v>
      </c>
      <c r="P219" s="198">
        <v>0</v>
      </c>
      <c r="Q219" s="198">
        <v>0</v>
      </c>
      <c r="R219" s="199">
        <v>0</v>
      </c>
      <c r="S219" s="199">
        <v>0</v>
      </c>
      <c r="T219" s="199">
        <v>0</v>
      </c>
      <c r="U219" s="200">
        <v>0</v>
      </c>
      <c r="V219" s="199">
        <v>0</v>
      </c>
      <c r="W219" s="199">
        <v>0</v>
      </c>
      <c r="X219" s="199">
        <v>0</v>
      </c>
      <c r="Y219" s="201">
        <v>0</v>
      </c>
      <c r="Z219" s="202">
        <v>0</v>
      </c>
      <c r="AA219" s="203">
        <v>0</v>
      </c>
      <c r="AB219" s="198">
        <v>0</v>
      </c>
      <c r="AC219" s="175"/>
      <c r="AD219" s="241">
        <v>0.74652777777777779</v>
      </c>
      <c r="AE219" s="241">
        <v>0.75</v>
      </c>
      <c r="AF219" s="185" t="s">
        <v>99</v>
      </c>
      <c r="AG219" s="185" t="s">
        <v>99</v>
      </c>
      <c r="AH219" s="293"/>
    </row>
    <row r="220" spans="1:34" s="70" customFormat="1" ht="15.75" x14ac:dyDescent="0.25">
      <c r="A220" s="267">
        <v>46051</v>
      </c>
      <c r="B220" s="276" t="s">
        <v>107</v>
      </c>
      <c r="C220" s="160"/>
      <c r="D220" s="160">
        <v>1</v>
      </c>
      <c r="E220" s="160"/>
      <c r="F220" s="160"/>
      <c r="G220" s="160"/>
      <c r="H220" s="160"/>
      <c r="I220" s="160"/>
      <c r="J220" s="160"/>
      <c r="K220" s="160" t="s">
        <v>812</v>
      </c>
      <c r="L220" s="276" t="s">
        <v>813</v>
      </c>
      <c r="M220" s="277" t="s">
        <v>814</v>
      </c>
      <c r="N220" s="161">
        <v>1</v>
      </c>
      <c r="O220" s="162">
        <v>1</v>
      </c>
      <c r="P220" s="198">
        <v>0</v>
      </c>
      <c r="Q220" s="198">
        <v>0</v>
      </c>
      <c r="R220" s="199">
        <v>0</v>
      </c>
      <c r="S220" s="199">
        <v>0</v>
      </c>
      <c r="T220" s="199">
        <v>0</v>
      </c>
      <c r="U220" s="200">
        <v>0</v>
      </c>
      <c r="V220" s="199">
        <v>0</v>
      </c>
      <c r="W220" s="199">
        <v>0</v>
      </c>
      <c r="X220" s="199">
        <v>0</v>
      </c>
      <c r="Y220" s="201">
        <v>0</v>
      </c>
      <c r="Z220" s="202">
        <v>0</v>
      </c>
      <c r="AA220" s="203">
        <v>0</v>
      </c>
      <c r="AB220" s="198">
        <v>0</v>
      </c>
      <c r="AC220" s="268">
        <v>29</v>
      </c>
      <c r="AD220" s="241">
        <v>0.625</v>
      </c>
      <c r="AE220" s="278">
        <v>0.38541666666666669</v>
      </c>
      <c r="AF220" s="110" t="s">
        <v>98</v>
      </c>
      <c r="AG220" s="110" t="s">
        <v>99</v>
      </c>
      <c r="AH220" s="153"/>
    </row>
    <row r="221" spans="1:34" s="70" customFormat="1" ht="15.75" x14ac:dyDescent="0.25">
      <c r="A221" s="267">
        <v>46051</v>
      </c>
      <c r="B221" s="276" t="s">
        <v>815</v>
      </c>
      <c r="C221" s="160"/>
      <c r="D221" s="160"/>
      <c r="E221" s="160"/>
      <c r="F221" s="160">
        <v>1</v>
      </c>
      <c r="G221" s="160"/>
      <c r="H221" s="160"/>
      <c r="I221" s="160"/>
      <c r="J221" s="160"/>
      <c r="K221" s="160" t="s">
        <v>200</v>
      </c>
      <c r="L221" s="276" t="s">
        <v>226</v>
      </c>
      <c r="M221" s="277" t="s">
        <v>816</v>
      </c>
      <c r="N221" s="161">
        <v>1</v>
      </c>
      <c r="O221" s="162">
        <v>1</v>
      </c>
      <c r="P221" s="198">
        <v>0</v>
      </c>
      <c r="Q221" s="198">
        <v>0</v>
      </c>
      <c r="R221" s="199">
        <v>0</v>
      </c>
      <c r="S221" s="199">
        <v>0</v>
      </c>
      <c r="T221" s="199">
        <v>0</v>
      </c>
      <c r="U221" s="200">
        <v>0</v>
      </c>
      <c r="V221" s="199">
        <v>0</v>
      </c>
      <c r="W221" s="199">
        <v>0</v>
      </c>
      <c r="X221" s="199">
        <v>0</v>
      </c>
      <c r="Y221" s="201">
        <v>0</v>
      </c>
      <c r="Z221" s="202">
        <v>0</v>
      </c>
      <c r="AA221" s="203">
        <v>0</v>
      </c>
      <c r="AB221" s="198">
        <v>0</v>
      </c>
      <c r="AC221" s="268"/>
      <c r="AD221" s="241">
        <v>0.375</v>
      </c>
      <c r="AE221" s="278">
        <v>0.40972222222222227</v>
      </c>
      <c r="AF221" s="110" t="s">
        <v>98</v>
      </c>
      <c r="AG221" s="110" t="s">
        <v>99</v>
      </c>
      <c r="AH221" s="153"/>
    </row>
    <row r="222" spans="1:34" s="70" customFormat="1" ht="15.75" x14ac:dyDescent="0.25">
      <c r="A222" s="267">
        <v>46051</v>
      </c>
      <c r="B222" s="276" t="s">
        <v>339</v>
      </c>
      <c r="C222" s="160"/>
      <c r="D222" s="160"/>
      <c r="E222" s="160"/>
      <c r="F222" s="160">
        <v>2</v>
      </c>
      <c r="G222" s="160"/>
      <c r="H222" s="160"/>
      <c r="I222" s="160"/>
      <c r="J222" s="160"/>
      <c r="K222" s="160" t="s">
        <v>129</v>
      </c>
      <c r="L222" s="276" t="s">
        <v>687</v>
      </c>
      <c r="M222" s="277" t="s">
        <v>833</v>
      </c>
      <c r="N222" s="161">
        <v>2</v>
      </c>
      <c r="O222" s="162">
        <v>2</v>
      </c>
      <c r="P222" s="198">
        <v>0</v>
      </c>
      <c r="Q222" s="198">
        <v>0</v>
      </c>
      <c r="R222" s="199">
        <v>0</v>
      </c>
      <c r="S222" s="199">
        <v>0</v>
      </c>
      <c r="T222" s="199">
        <v>0</v>
      </c>
      <c r="U222" s="200">
        <v>0</v>
      </c>
      <c r="V222" s="199">
        <v>0</v>
      </c>
      <c r="W222" s="199">
        <v>0</v>
      </c>
      <c r="X222" s="199">
        <v>0</v>
      </c>
      <c r="Y222" s="201">
        <v>0</v>
      </c>
      <c r="Z222" s="202">
        <v>0</v>
      </c>
      <c r="AA222" s="203">
        <v>0</v>
      </c>
      <c r="AB222" s="198">
        <v>0</v>
      </c>
      <c r="AC222" s="268">
        <v>28</v>
      </c>
      <c r="AD222" s="241">
        <v>0.625</v>
      </c>
      <c r="AE222" s="278">
        <v>0.375</v>
      </c>
      <c r="AF222" s="110" t="s">
        <v>117</v>
      </c>
      <c r="AG222" s="110" t="s">
        <v>99</v>
      </c>
      <c r="AH222" s="153"/>
    </row>
    <row r="223" spans="1:34" s="70" customFormat="1" ht="15.75" x14ac:dyDescent="0.25">
      <c r="A223" s="267">
        <v>46051</v>
      </c>
      <c r="B223" s="276" t="s">
        <v>840</v>
      </c>
      <c r="C223" s="160"/>
      <c r="D223" s="160"/>
      <c r="E223" s="160"/>
      <c r="F223" s="160">
        <v>8</v>
      </c>
      <c r="G223" s="160"/>
      <c r="H223" s="160"/>
      <c r="I223" s="160"/>
      <c r="J223" s="160"/>
      <c r="K223" s="160" t="s">
        <v>841</v>
      </c>
      <c r="L223" s="276" t="s">
        <v>842</v>
      </c>
      <c r="M223" s="277" t="s">
        <v>843</v>
      </c>
      <c r="N223" s="161">
        <v>8</v>
      </c>
      <c r="O223" s="162">
        <v>8</v>
      </c>
      <c r="P223" s="198">
        <v>0</v>
      </c>
      <c r="Q223" s="198">
        <v>0</v>
      </c>
      <c r="R223" s="199">
        <v>0</v>
      </c>
      <c r="S223" s="199">
        <v>0</v>
      </c>
      <c r="T223" s="199">
        <v>0</v>
      </c>
      <c r="U223" s="200">
        <v>0</v>
      </c>
      <c r="V223" s="199">
        <v>0</v>
      </c>
      <c r="W223" s="199">
        <v>0</v>
      </c>
      <c r="X223" s="199">
        <v>0</v>
      </c>
      <c r="Y223" s="201">
        <v>0</v>
      </c>
      <c r="Z223" s="202">
        <v>0</v>
      </c>
      <c r="AA223" s="203">
        <v>0</v>
      </c>
      <c r="AB223" s="198">
        <v>0</v>
      </c>
      <c r="AC223" s="268"/>
      <c r="AD223" s="241">
        <v>0.35486111111111113</v>
      </c>
      <c r="AE223" s="278">
        <v>0.60416666666666663</v>
      </c>
      <c r="AF223" s="110" t="s">
        <v>98</v>
      </c>
      <c r="AG223" s="110" t="s">
        <v>99</v>
      </c>
      <c r="AH223" s="153"/>
    </row>
    <row r="224" spans="1:34" s="70" customFormat="1" ht="15.75" x14ac:dyDescent="0.25">
      <c r="A224" s="267">
        <v>46051</v>
      </c>
      <c r="B224" s="276" t="s">
        <v>844</v>
      </c>
      <c r="C224" s="160"/>
      <c r="D224" s="160"/>
      <c r="E224" s="160"/>
      <c r="F224" s="160"/>
      <c r="G224" s="160"/>
      <c r="H224" s="160">
        <v>1</v>
      </c>
      <c r="I224" s="160"/>
      <c r="J224" s="160"/>
      <c r="K224" s="160" t="s">
        <v>845</v>
      </c>
      <c r="L224" s="276" t="s">
        <v>846</v>
      </c>
      <c r="M224" s="277" t="s">
        <v>847</v>
      </c>
      <c r="N224" s="161">
        <v>1</v>
      </c>
      <c r="O224" s="162">
        <v>1</v>
      </c>
      <c r="P224" s="198">
        <v>0</v>
      </c>
      <c r="Q224" s="198">
        <v>0</v>
      </c>
      <c r="R224" s="199">
        <v>0</v>
      </c>
      <c r="S224" s="199">
        <v>0</v>
      </c>
      <c r="T224" s="199">
        <v>0</v>
      </c>
      <c r="U224" s="200">
        <v>0</v>
      </c>
      <c r="V224" s="199">
        <v>0</v>
      </c>
      <c r="W224" s="199">
        <v>0</v>
      </c>
      <c r="X224" s="199">
        <v>0</v>
      </c>
      <c r="Y224" s="201">
        <v>0</v>
      </c>
      <c r="Z224" s="202">
        <v>0</v>
      </c>
      <c r="AA224" s="203">
        <v>0</v>
      </c>
      <c r="AB224" s="198">
        <v>0</v>
      </c>
      <c r="AC224" s="268"/>
      <c r="AD224" s="241">
        <v>0.63888888888888895</v>
      </c>
      <c r="AE224" s="278">
        <v>0.65763888888888888</v>
      </c>
      <c r="AF224" s="110" t="s">
        <v>98</v>
      </c>
      <c r="AG224" s="110" t="s">
        <v>99</v>
      </c>
      <c r="AH224" s="153"/>
    </row>
    <row r="225" spans="1:34" s="70" customFormat="1" ht="15.75" x14ac:dyDescent="0.25">
      <c r="A225" s="267">
        <v>46051</v>
      </c>
      <c r="B225" s="276" t="s">
        <v>848</v>
      </c>
      <c r="C225" s="160">
        <v>1</v>
      </c>
      <c r="D225" s="160"/>
      <c r="E225" s="160">
        <v>1</v>
      </c>
      <c r="F225" s="160"/>
      <c r="G225" s="160"/>
      <c r="H225" s="160"/>
      <c r="I225" s="160"/>
      <c r="J225" s="160"/>
      <c r="K225" s="160" t="s">
        <v>849</v>
      </c>
      <c r="L225" s="276" t="s">
        <v>850</v>
      </c>
      <c r="M225" s="277" t="s">
        <v>851</v>
      </c>
      <c r="N225" s="161">
        <v>1</v>
      </c>
      <c r="O225" s="162">
        <v>1</v>
      </c>
      <c r="P225" s="198">
        <v>0</v>
      </c>
      <c r="Q225" s="198">
        <v>0</v>
      </c>
      <c r="R225" s="199">
        <v>0</v>
      </c>
      <c r="S225" s="199">
        <v>0</v>
      </c>
      <c r="T225" s="199">
        <v>0</v>
      </c>
      <c r="U225" s="200">
        <v>0</v>
      </c>
      <c r="V225" s="199">
        <v>0</v>
      </c>
      <c r="W225" s="199">
        <v>0</v>
      </c>
      <c r="X225" s="199">
        <v>0</v>
      </c>
      <c r="Y225" s="201">
        <v>0</v>
      </c>
      <c r="Z225" s="202">
        <v>0</v>
      </c>
      <c r="AA225" s="203">
        <v>0</v>
      </c>
      <c r="AB225" s="198">
        <v>0</v>
      </c>
      <c r="AC225" s="268"/>
      <c r="AD225" s="241">
        <v>0.65972222222222221</v>
      </c>
      <c r="AE225" s="278">
        <v>0.70347222222222217</v>
      </c>
      <c r="AF225" s="110" t="s">
        <v>98</v>
      </c>
      <c r="AG225" s="110" t="s">
        <v>99</v>
      </c>
      <c r="AH225" s="153"/>
    </row>
    <row r="226" spans="1:34" s="70" customFormat="1" ht="15.75" x14ac:dyDescent="0.25">
      <c r="A226" s="267">
        <v>46051</v>
      </c>
      <c r="B226" s="276" t="s">
        <v>852</v>
      </c>
      <c r="C226" s="160"/>
      <c r="D226" s="160"/>
      <c r="E226" s="160"/>
      <c r="F226" s="160">
        <v>8</v>
      </c>
      <c r="G226" s="160"/>
      <c r="H226" s="160"/>
      <c r="I226" s="160"/>
      <c r="J226" s="160"/>
      <c r="K226" s="160" t="s">
        <v>841</v>
      </c>
      <c r="L226" s="276" t="s">
        <v>842</v>
      </c>
      <c r="M226" s="277" t="s">
        <v>853</v>
      </c>
      <c r="N226" s="161">
        <v>8</v>
      </c>
      <c r="O226" s="162">
        <v>8</v>
      </c>
      <c r="P226" s="198">
        <v>0</v>
      </c>
      <c r="Q226" s="198">
        <v>0</v>
      </c>
      <c r="R226" s="199">
        <v>0</v>
      </c>
      <c r="S226" s="199">
        <v>0</v>
      </c>
      <c r="T226" s="199">
        <v>0</v>
      </c>
      <c r="U226" s="200">
        <v>0</v>
      </c>
      <c r="V226" s="199">
        <v>0</v>
      </c>
      <c r="W226" s="199">
        <v>0</v>
      </c>
      <c r="X226" s="199">
        <v>0</v>
      </c>
      <c r="Y226" s="201">
        <v>0</v>
      </c>
      <c r="Z226" s="202">
        <v>0</v>
      </c>
      <c r="AA226" s="203">
        <v>0</v>
      </c>
      <c r="AB226" s="198">
        <v>0</v>
      </c>
      <c r="AC226" s="268"/>
      <c r="AD226" s="241">
        <v>0.49791666666666662</v>
      </c>
      <c r="AE226" s="278">
        <v>0.73263888888888884</v>
      </c>
      <c r="AF226" s="110" t="s">
        <v>98</v>
      </c>
      <c r="AG226" s="110" t="s">
        <v>99</v>
      </c>
      <c r="AH226" s="153"/>
    </row>
    <row r="227" spans="1:34" s="91" customFormat="1" ht="15.75" x14ac:dyDescent="0.25">
      <c r="A227" s="176">
        <v>46052</v>
      </c>
      <c r="B227" s="184" t="s">
        <v>373</v>
      </c>
      <c r="C227" s="164"/>
      <c r="D227" s="164"/>
      <c r="E227" s="164"/>
      <c r="F227" s="164">
        <v>1</v>
      </c>
      <c r="G227" s="164"/>
      <c r="H227" s="164"/>
      <c r="I227" s="164"/>
      <c r="J227" s="164"/>
      <c r="K227" s="164" t="s">
        <v>374</v>
      </c>
      <c r="L227" s="184" t="s">
        <v>854</v>
      </c>
      <c r="M227" s="187" t="s">
        <v>855</v>
      </c>
      <c r="N227" s="169">
        <v>1</v>
      </c>
      <c r="O227" s="170">
        <v>1</v>
      </c>
      <c r="P227" s="198">
        <v>0</v>
      </c>
      <c r="Q227" s="198">
        <v>0</v>
      </c>
      <c r="R227" s="199">
        <v>0</v>
      </c>
      <c r="S227" s="199">
        <v>0</v>
      </c>
      <c r="T227" s="199">
        <v>0</v>
      </c>
      <c r="U227" s="200">
        <v>0</v>
      </c>
      <c r="V227" s="199">
        <v>0</v>
      </c>
      <c r="W227" s="199">
        <v>0</v>
      </c>
      <c r="X227" s="199">
        <v>0</v>
      </c>
      <c r="Y227" s="201">
        <v>0</v>
      </c>
      <c r="Z227" s="202">
        <v>0</v>
      </c>
      <c r="AA227" s="203">
        <v>0</v>
      </c>
      <c r="AB227" s="198">
        <v>0</v>
      </c>
      <c r="AC227" s="175">
        <v>29</v>
      </c>
      <c r="AD227" s="241">
        <v>0.68333333333333324</v>
      </c>
      <c r="AE227" s="241">
        <v>0.36944444444444446</v>
      </c>
      <c r="AF227" s="185" t="s">
        <v>98</v>
      </c>
      <c r="AG227" s="185" t="s">
        <v>99</v>
      </c>
      <c r="AH227" s="293"/>
    </row>
    <row r="228" spans="1:34" s="91" customFormat="1" ht="15.75" x14ac:dyDescent="0.25">
      <c r="A228" s="176">
        <v>46052</v>
      </c>
      <c r="B228" s="184" t="s">
        <v>856</v>
      </c>
      <c r="C228" s="164"/>
      <c r="D228" s="164"/>
      <c r="E228" s="164"/>
      <c r="F228" s="164">
        <v>8</v>
      </c>
      <c r="G228" s="164"/>
      <c r="H228" s="164"/>
      <c r="I228" s="164"/>
      <c r="J228" s="164"/>
      <c r="K228" s="164" t="s">
        <v>841</v>
      </c>
      <c r="L228" s="184" t="s">
        <v>842</v>
      </c>
      <c r="M228" s="187" t="s">
        <v>857</v>
      </c>
      <c r="N228" s="169">
        <v>8</v>
      </c>
      <c r="O228" s="170">
        <v>8</v>
      </c>
      <c r="P228" s="198">
        <v>0</v>
      </c>
      <c r="Q228" s="198">
        <v>0</v>
      </c>
      <c r="R228" s="199">
        <v>0</v>
      </c>
      <c r="S228" s="199">
        <v>0</v>
      </c>
      <c r="T228" s="199">
        <v>0</v>
      </c>
      <c r="U228" s="200">
        <v>0</v>
      </c>
      <c r="V228" s="199">
        <v>0</v>
      </c>
      <c r="W228" s="199">
        <v>0</v>
      </c>
      <c r="X228" s="199">
        <v>0</v>
      </c>
      <c r="Y228" s="201">
        <v>0</v>
      </c>
      <c r="Z228" s="202">
        <v>0</v>
      </c>
      <c r="AA228" s="203">
        <v>0</v>
      </c>
      <c r="AB228" s="198">
        <v>0</v>
      </c>
      <c r="AC228" s="175">
        <v>29</v>
      </c>
      <c r="AD228" s="241">
        <v>0.625</v>
      </c>
      <c r="AE228" s="241">
        <v>0.46180555555555558</v>
      </c>
      <c r="AF228" s="185" t="s">
        <v>98</v>
      </c>
      <c r="AG228" s="185" t="s">
        <v>99</v>
      </c>
      <c r="AH228" s="293" t="s">
        <v>860</v>
      </c>
    </row>
    <row r="229" spans="1:34" s="91" customFormat="1" ht="15.75" x14ac:dyDescent="0.25">
      <c r="A229" s="176">
        <v>46052</v>
      </c>
      <c r="B229" s="184" t="s">
        <v>858</v>
      </c>
      <c r="C229" s="164"/>
      <c r="D229" s="164"/>
      <c r="E229" s="164"/>
      <c r="F229" s="164">
        <v>8</v>
      </c>
      <c r="G229" s="164"/>
      <c r="H229" s="164"/>
      <c r="I229" s="164"/>
      <c r="J229" s="164"/>
      <c r="K229" s="164" t="s">
        <v>841</v>
      </c>
      <c r="L229" s="184" t="s">
        <v>842</v>
      </c>
      <c r="M229" s="187" t="s">
        <v>859</v>
      </c>
      <c r="N229" s="169">
        <v>8</v>
      </c>
      <c r="O229" s="170">
        <v>8</v>
      </c>
      <c r="P229" s="198">
        <v>0</v>
      </c>
      <c r="Q229" s="198">
        <v>0</v>
      </c>
      <c r="R229" s="199">
        <v>0</v>
      </c>
      <c r="S229" s="199">
        <v>0</v>
      </c>
      <c r="T229" s="199">
        <v>0</v>
      </c>
      <c r="U229" s="200">
        <v>0</v>
      </c>
      <c r="V229" s="199">
        <v>0</v>
      </c>
      <c r="W229" s="199">
        <v>0</v>
      </c>
      <c r="X229" s="199">
        <v>0</v>
      </c>
      <c r="Y229" s="201">
        <v>0</v>
      </c>
      <c r="Z229" s="202">
        <v>0</v>
      </c>
      <c r="AA229" s="203">
        <v>0</v>
      </c>
      <c r="AB229" s="198">
        <v>0</v>
      </c>
      <c r="AC229" s="175">
        <v>28</v>
      </c>
      <c r="AD229" s="241">
        <v>0.71597222222222223</v>
      </c>
      <c r="AE229" s="241">
        <v>0.4861111111111111</v>
      </c>
      <c r="AF229" s="185" t="s">
        <v>117</v>
      </c>
      <c r="AG229" s="185" t="s">
        <v>99</v>
      </c>
      <c r="AH229" s="293"/>
    </row>
    <row r="230" spans="1:34" s="91" customFormat="1" ht="15.75" x14ac:dyDescent="0.25">
      <c r="A230" s="176">
        <v>46052</v>
      </c>
      <c r="B230" s="184" t="s">
        <v>861</v>
      </c>
      <c r="C230" s="164"/>
      <c r="D230" s="164"/>
      <c r="E230" s="164"/>
      <c r="F230" s="164">
        <v>1</v>
      </c>
      <c r="G230" s="164">
        <v>1</v>
      </c>
      <c r="H230" s="164"/>
      <c r="I230" s="164"/>
      <c r="J230" s="164"/>
      <c r="K230" s="164" t="s">
        <v>511</v>
      </c>
      <c r="L230" s="184" t="s">
        <v>862</v>
      </c>
      <c r="M230" s="187" t="s">
        <v>863</v>
      </c>
      <c r="N230" s="169">
        <v>1</v>
      </c>
      <c r="O230" s="170">
        <v>1</v>
      </c>
      <c r="P230" s="198">
        <v>0</v>
      </c>
      <c r="Q230" s="198">
        <v>0</v>
      </c>
      <c r="R230" s="199">
        <v>0</v>
      </c>
      <c r="S230" s="199">
        <v>0</v>
      </c>
      <c r="T230" s="199">
        <v>0</v>
      </c>
      <c r="U230" s="200">
        <v>0</v>
      </c>
      <c r="V230" s="199">
        <v>0</v>
      </c>
      <c r="W230" s="199">
        <v>0</v>
      </c>
      <c r="X230" s="199">
        <v>0</v>
      </c>
      <c r="Y230" s="201">
        <v>0</v>
      </c>
      <c r="Z230" s="202">
        <v>0</v>
      </c>
      <c r="AA230" s="203">
        <v>0</v>
      </c>
      <c r="AB230" s="198">
        <v>0</v>
      </c>
      <c r="AC230" s="175"/>
      <c r="AD230" s="241">
        <v>0.34722222222222227</v>
      </c>
      <c r="AE230" s="241">
        <v>0.55555555555555558</v>
      </c>
      <c r="AF230" s="185" t="s">
        <v>98</v>
      </c>
      <c r="AG230" s="185" t="s">
        <v>99</v>
      </c>
      <c r="AH230" s="293"/>
    </row>
    <row r="231" spans="1:34" s="91" customFormat="1" ht="15.75" x14ac:dyDescent="0.25">
      <c r="A231" s="176">
        <v>46052</v>
      </c>
      <c r="B231" s="184" t="s">
        <v>621</v>
      </c>
      <c r="C231" s="164"/>
      <c r="D231" s="164">
        <v>1</v>
      </c>
      <c r="E231" s="164"/>
      <c r="F231" s="164"/>
      <c r="G231" s="164"/>
      <c r="H231" s="164"/>
      <c r="I231" s="164"/>
      <c r="J231" s="164"/>
      <c r="K231" s="164" t="s">
        <v>387</v>
      </c>
      <c r="L231" s="184" t="s">
        <v>864</v>
      </c>
      <c r="M231" s="187" t="s">
        <v>865</v>
      </c>
      <c r="N231" s="169">
        <v>1</v>
      </c>
      <c r="O231" s="170">
        <v>1</v>
      </c>
      <c r="P231" s="198">
        <v>0</v>
      </c>
      <c r="Q231" s="198">
        <v>0</v>
      </c>
      <c r="R231" s="199">
        <v>0</v>
      </c>
      <c r="S231" s="199">
        <v>0</v>
      </c>
      <c r="T231" s="199">
        <v>0</v>
      </c>
      <c r="U231" s="200">
        <v>0</v>
      </c>
      <c r="V231" s="199">
        <v>0</v>
      </c>
      <c r="W231" s="199">
        <v>0</v>
      </c>
      <c r="X231" s="199">
        <v>0</v>
      </c>
      <c r="Y231" s="201">
        <v>0</v>
      </c>
      <c r="Z231" s="202">
        <v>0</v>
      </c>
      <c r="AA231" s="203">
        <v>0</v>
      </c>
      <c r="AB231" s="198">
        <v>0</v>
      </c>
      <c r="AC231" s="175"/>
      <c r="AD231" s="241">
        <v>0.51041666666666663</v>
      </c>
      <c r="AE231" s="241">
        <v>0.58333333333333337</v>
      </c>
      <c r="AF231" s="185" t="s">
        <v>98</v>
      </c>
      <c r="AG231" s="185" t="s">
        <v>99</v>
      </c>
      <c r="AH231" s="293"/>
    </row>
    <row r="232" spans="1:34" s="91" customFormat="1" ht="15.75" x14ac:dyDescent="0.25">
      <c r="A232" s="176">
        <v>46052</v>
      </c>
      <c r="B232" s="184" t="s">
        <v>866</v>
      </c>
      <c r="C232" s="164"/>
      <c r="D232" s="164"/>
      <c r="E232" s="164"/>
      <c r="F232" s="164">
        <v>1</v>
      </c>
      <c r="G232" s="164"/>
      <c r="H232" s="164"/>
      <c r="I232" s="164"/>
      <c r="J232" s="164"/>
      <c r="K232" s="164" t="s">
        <v>867</v>
      </c>
      <c r="L232" s="184" t="s">
        <v>868</v>
      </c>
      <c r="M232" s="187" t="s">
        <v>869</v>
      </c>
      <c r="N232" s="169">
        <v>1</v>
      </c>
      <c r="O232" s="170">
        <v>1</v>
      </c>
      <c r="P232" s="198">
        <v>0</v>
      </c>
      <c r="Q232" s="198">
        <v>0</v>
      </c>
      <c r="R232" s="199">
        <v>0</v>
      </c>
      <c r="S232" s="199">
        <v>0</v>
      </c>
      <c r="T232" s="199">
        <v>0</v>
      </c>
      <c r="U232" s="200">
        <v>0</v>
      </c>
      <c r="V232" s="199">
        <v>0</v>
      </c>
      <c r="W232" s="199">
        <v>0</v>
      </c>
      <c r="X232" s="199">
        <v>0</v>
      </c>
      <c r="Y232" s="201">
        <v>0</v>
      </c>
      <c r="Z232" s="202">
        <v>0</v>
      </c>
      <c r="AA232" s="203">
        <v>0</v>
      </c>
      <c r="AB232" s="198">
        <v>0</v>
      </c>
      <c r="AC232" s="175"/>
      <c r="AD232" s="241">
        <v>0.56736111111111109</v>
      </c>
      <c r="AE232" s="241">
        <v>0.59166666666666667</v>
      </c>
      <c r="AF232" s="185" t="s">
        <v>117</v>
      </c>
      <c r="AG232" s="185" t="s">
        <v>99</v>
      </c>
      <c r="AH232" s="293"/>
    </row>
    <row r="233" spans="1:34" s="91" customFormat="1" ht="15.75" x14ac:dyDescent="0.25">
      <c r="A233" s="176">
        <v>46052</v>
      </c>
      <c r="B233" s="184" t="s">
        <v>870</v>
      </c>
      <c r="C233" s="164">
        <v>1</v>
      </c>
      <c r="D233" s="164"/>
      <c r="E233" s="164"/>
      <c r="F233" s="164"/>
      <c r="G233" s="164"/>
      <c r="H233" s="164"/>
      <c r="I233" s="164"/>
      <c r="J233" s="164"/>
      <c r="K233" s="164" t="s">
        <v>387</v>
      </c>
      <c r="L233" s="184" t="s">
        <v>864</v>
      </c>
      <c r="M233" s="187" t="s">
        <v>871</v>
      </c>
      <c r="N233" s="169">
        <v>1</v>
      </c>
      <c r="O233" s="170">
        <v>1</v>
      </c>
      <c r="P233" s="198">
        <v>0</v>
      </c>
      <c r="Q233" s="198">
        <v>0</v>
      </c>
      <c r="R233" s="199">
        <v>0</v>
      </c>
      <c r="S233" s="199">
        <v>0</v>
      </c>
      <c r="T233" s="199">
        <v>0</v>
      </c>
      <c r="U233" s="200">
        <v>0</v>
      </c>
      <c r="V233" s="199">
        <v>0</v>
      </c>
      <c r="W233" s="199">
        <v>0</v>
      </c>
      <c r="X233" s="199">
        <v>0</v>
      </c>
      <c r="Y233" s="201">
        <v>0</v>
      </c>
      <c r="Z233" s="202">
        <v>0</v>
      </c>
      <c r="AA233" s="203">
        <v>0</v>
      </c>
      <c r="AB233" s="198">
        <v>0</v>
      </c>
      <c r="AC233" s="175"/>
      <c r="AD233" s="241">
        <v>0.35069444444444442</v>
      </c>
      <c r="AE233" s="241">
        <v>0.60763888888888895</v>
      </c>
      <c r="AF233" s="185" t="s">
        <v>98</v>
      </c>
      <c r="AG233" s="185" t="s">
        <v>99</v>
      </c>
      <c r="AH233" s="293"/>
    </row>
    <row r="234" spans="1:34" s="91" customFormat="1" ht="15.75" x14ac:dyDescent="0.25">
      <c r="A234" s="176">
        <v>46052</v>
      </c>
      <c r="B234" s="184" t="s">
        <v>872</v>
      </c>
      <c r="C234" s="164"/>
      <c r="D234" s="164"/>
      <c r="E234" s="164"/>
      <c r="F234" s="164">
        <v>4</v>
      </c>
      <c r="G234" s="164"/>
      <c r="H234" s="164"/>
      <c r="I234" s="164"/>
      <c r="J234" s="164"/>
      <c r="K234" s="164" t="s">
        <v>873</v>
      </c>
      <c r="L234" s="184" t="s">
        <v>874</v>
      </c>
      <c r="M234" s="187" t="s">
        <v>875</v>
      </c>
      <c r="N234" s="169">
        <v>4</v>
      </c>
      <c r="O234" s="170">
        <v>4</v>
      </c>
      <c r="P234" s="198">
        <v>0</v>
      </c>
      <c r="Q234" s="198">
        <v>0</v>
      </c>
      <c r="R234" s="199">
        <v>0</v>
      </c>
      <c r="S234" s="199">
        <v>0</v>
      </c>
      <c r="T234" s="199">
        <v>0</v>
      </c>
      <c r="U234" s="200">
        <v>0</v>
      </c>
      <c r="V234" s="199">
        <v>0</v>
      </c>
      <c r="W234" s="199">
        <v>0</v>
      </c>
      <c r="X234" s="199">
        <v>0</v>
      </c>
      <c r="Y234" s="201">
        <v>0</v>
      </c>
      <c r="Z234" s="202">
        <v>0</v>
      </c>
      <c r="AA234" s="203">
        <v>0</v>
      </c>
      <c r="AB234" s="198">
        <v>0</v>
      </c>
      <c r="AC234" s="175"/>
      <c r="AD234" s="241">
        <v>0.35416666666666669</v>
      </c>
      <c r="AE234" s="241">
        <v>0.625</v>
      </c>
      <c r="AF234" s="185" t="s">
        <v>168</v>
      </c>
      <c r="AG234" s="185" t="s">
        <v>99</v>
      </c>
      <c r="AH234" s="293"/>
    </row>
    <row r="235" spans="1:34" s="91" customFormat="1" ht="15.75" x14ac:dyDescent="0.25">
      <c r="A235" s="176">
        <v>46052</v>
      </c>
      <c r="B235" s="184" t="s">
        <v>876</v>
      </c>
      <c r="C235" s="164"/>
      <c r="D235" s="164"/>
      <c r="E235" s="164"/>
      <c r="F235" s="164">
        <v>1</v>
      </c>
      <c r="G235" s="164"/>
      <c r="H235" s="164"/>
      <c r="I235" s="164"/>
      <c r="J235" s="164"/>
      <c r="K235" s="164" t="s">
        <v>877</v>
      </c>
      <c r="L235" s="184" t="s">
        <v>878</v>
      </c>
      <c r="M235" s="187" t="s">
        <v>879</v>
      </c>
      <c r="N235" s="169">
        <v>1</v>
      </c>
      <c r="O235" s="170">
        <v>1</v>
      </c>
      <c r="P235" s="198">
        <v>0</v>
      </c>
      <c r="Q235" s="198">
        <v>0</v>
      </c>
      <c r="R235" s="199">
        <v>0</v>
      </c>
      <c r="S235" s="199">
        <v>0</v>
      </c>
      <c r="T235" s="199">
        <v>0</v>
      </c>
      <c r="U235" s="200">
        <v>0</v>
      </c>
      <c r="V235" s="199">
        <v>0</v>
      </c>
      <c r="W235" s="199">
        <v>0</v>
      </c>
      <c r="X235" s="199">
        <v>0</v>
      </c>
      <c r="Y235" s="201">
        <v>0</v>
      </c>
      <c r="Z235" s="202">
        <v>0</v>
      </c>
      <c r="AA235" s="203">
        <v>0</v>
      </c>
      <c r="AB235" s="198">
        <v>0</v>
      </c>
      <c r="AC235" s="175"/>
      <c r="AD235" s="241">
        <v>0.65902777777777777</v>
      </c>
      <c r="AE235" s="241">
        <v>0.67083333333333339</v>
      </c>
      <c r="AF235" s="185" t="s">
        <v>98</v>
      </c>
      <c r="AG235" s="185" t="s">
        <v>99</v>
      </c>
      <c r="AH235" s="293"/>
    </row>
    <row r="236" spans="1:34" s="91" customFormat="1" ht="15.75" x14ac:dyDescent="0.25">
      <c r="A236" s="176">
        <v>46052</v>
      </c>
      <c r="B236" s="184" t="s">
        <v>880</v>
      </c>
      <c r="C236" s="164">
        <v>1</v>
      </c>
      <c r="D236" s="164"/>
      <c r="E236" s="164"/>
      <c r="F236" s="164"/>
      <c r="G236" s="164"/>
      <c r="H236" s="164"/>
      <c r="I236" s="164"/>
      <c r="J236" s="164"/>
      <c r="K236" s="164" t="s">
        <v>881</v>
      </c>
      <c r="L236" s="184" t="s">
        <v>882</v>
      </c>
      <c r="M236" s="187" t="s">
        <v>883</v>
      </c>
      <c r="N236" s="169">
        <v>1</v>
      </c>
      <c r="O236" s="170">
        <v>1</v>
      </c>
      <c r="P236" s="198">
        <v>0</v>
      </c>
      <c r="Q236" s="198">
        <v>0</v>
      </c>
      <c r="R236" s="199">
        <v>0</v>
      </c>
      <c r="S236" s="199">
        <v>0</v>
      </c>
      <c r="T236" s="199">
        <v>0</v>
      </c>
      <c r="U236" s="200">
        <v>0</v>
      </c>
      <c r="V236" s="199">
        <v>0</v>
      </c>
      <c r="W236" s="199">
        <v>0</v>
      </c>
      <c r="X236" s="199">
        <v>0</v>
      </c>
      <c r="Y236" s="201">
        <v>0</v>
      </c>
      <c r="Z236" s="202">
        <v>0</v>
      </c>
      <c r="AA236" s="203">
        <v>0</v>
      </c>
      <c r="AB236" s="198">
        <v>0</v>
      </c>
      <c r="AC236" s="175"/>
      <c r="AD236" s="164"/>
      <c r="AE236" s="241">
        <v>0.69791666666666663</v>
      </c>
      <c r="AF236" s="185" t="s">
        <v>98</v>
      </c>
      <c r="AG236" s="185" t="s">
        <v>99</v>
      </c>
      <c r="AH236" s="293" t="s">
        <v>538</v>
      </c>
    </row>
    <row r="237" spans="1:34" s="91" customFormat="1" ht="15.75" x14ac:dyDescent="0.25">
      <c r="A237" s="176">
        <v>46052</v>
      </c>
      <c r="B237" s="321" t="s">
        <v>884</v>
      </c>
      <c r="C237" s="164"/>
      <c r="D237" s="164"/>
      <c r="E237" s="164"/>
      <c r="F237" s="164">
        <v>1</v>
      </c>
      <c r="G237" s="164"/>
      <c r="H237" s="164"/>
      <c r="I237" s="164"/>
      <c r="J237" s="164"/>
      <c r="K237" s="164" t="s">
        <v>885</v>
      </c>
      <c r="L237" s="184" t="s">
        <v>886</v>
      </c>
      <c r="M237" s="187" t="s">
        <v>887</v>
      </c>
      <c r="N237" s="169">
        <v>1</v>
      </c>
      <c r="O237" s="170">
        <v>1</v>
      </c>
      <c r="P237" s="198">
        <v>0</v>
      </c>
      <c r="Q237" s="198">
        <v>0</v>
      </c>
      <c r="R237" s="199">
        <v>0</v>
      </c>
      <c r="S237" s="199">
        <v>0</v>
      </c>
      <c r="T237" s="199">
        <v>0</v>
      </c>
      <c r="U237" s="200">
        <v>0</v>
      </c>
      <c r="V237" s="199">
        <v>0</v>
      </c>
      <c r="W237" s="199">
        <v>0</v>
      </c>
      <c r="X237" s="199">
        <v>0</v>
      </c>
      <c r="Y237" s="201">
        <v>0</v>
      </c>
      <c r="Z237" s="202">
        <v>0</v>
      </c>
      <c r="AA237" s="203">
        <v>0</v>
      </c>
      <c r="AB237" s="198">
        <v>0</v>
      </c>
      <c r="AC237" s="175"/>
      <c r="AD237" s="164"/>
      <c r="AE237" s="241">
        <v>0.70138888888888884</v>
      </c>
      <c r="AF237" s="185" t="s">
        <v>99</v>
      </c>
      <c r="AG237" s="185" t="s">
        <v>99</v>
      </c>
      <c r="AH237" s="293"/>
    </row>
    <row r="238" spans="1:34" s="91" customFormat="1" ht="15.75" x14ac:dyDescent="0.25">
      <c r="A238" s="176">
        <v>46053</v>
      </c>
      <c r="B238" s="184" t="s">
        <v>888</v>
      </c>
      <c r="C238" s="164"/>
      <c r="D238" s="164">
        <v>1</v>
      </c>
      <c r="E238" s="164"/>
      <c r="F238" s="164"/>
      <c r="G238" s="164"/>
      <c r="H238" s="164"/>
      <c r="I238" s="164"/>
      <c r="J238" s="164"/>
      <c r="K238" s="164" t="s">
        <v>889</v>
      </c>
      <c r="L238" s="184" t="s">
        <v>890</v>
      </c>
      <c r="M238" s="187" t="s">
        <v>891</v>
      </c>
      <c r="N238" s="169">
        <v>1</v>
      </c>
      <c r="O238" s="170">
        <v>1</v>
      </c>
      <c r="P238" s="198">
        <v>0</v>
      </c>
      <c r="Q238" s="198">
        <v>0</v>
      </c>
      <c r="R238" s="199">
        <v>0</v>
      </c>
      <c r="S238" s="199">
        <v>0</v>
      </c>
      <c r="T238" s="199">
        <v>0</v>
      </c>
      <c r="U238" s="200">
        <v>0</v>
      </c>
      <c r="V238" s="199">
        <v>0</v>
      </c>
      <c r="W238" s="199">
        <v>0</v>
      </c>
      <c r="X238" s="199">
        <v>0</v>
      </c>
      <c r="Y238" s="201">
        <v>0</v>
      </c>
      <c r="Z238" s="202">
        <v>0</v>
      </c>
      <c r="AA238" s="203">
        <v>0</v>
      </c>
      <c r="AB238" s="198">
        <v>0</v>
      </c>
      <c r="AC238" s="175">
        <v>30</v>
      </c>
      <c r="AD238" s="241">
        <v>0.68055555555555547</v>
      </c>
      <c r="AE238" s="241">
        <v>0.33333333333333331</v>
      </c>
      <c r="AF238" s="185" t="s">
        <v>98</v>
      </c>
      <c r="AG238" s="185" t="s">
        <v>99</v>
      </c>
      <c r="AH238" s="293"/>
    </row>
    <row r="239" spans="1:34" s="91" customFormat="1" ht="15.75" x14ac:dyDescent="0.25">
      <c r="A239" s="176">
        <v>46053</v>
      </c>
      <c r="B239" s="184" t="s">
        <v>892</v>
      </c>
      <c r="C239" s="164"/>
      <c r="D239" s="164">
        <v>1</v>
      </c>
      <c r="E239" s="164"/>
      <c r="F239" s="164"/>
      <c r="G239" s="164"/>
      <c r="H239" s="164"/>
      <c r="I239" s="164"/>
      <c r="J239" s="164"/>
      <c r="K239" s="164" t="s">
        <v>889</v>
      </c>
      <c r="L239" s="184" t="s">
        <v>893</v>
      </c>
      <c r="M239" s="187" t="s">
        <v>894</v>
      </c>
      <c r="N239" s="169">
        <v>1</v>
      </c>
      <c r="O239" s="170">
        <v>1</v>
      </c>
      <c r="P239" s="198">
        <v>0</v>
      </c>
      <c r="Q239" s="198">
        <v>0</v>
      </c>
      <c r="R239" s="199">
        <v>0</v>
      </c>
      <c r="S239" s="199">
        <v>0</v>
      </c>
      <c r="T239" s="199">
        <v>0</v>
      </c>
      <c r="U239" s="200">
        <v>0</v>
      </c>
      <c r="V239" s="199">
        <v>0</v>
      </c>
      <c r="W239" s="199">
        <v>0</v>
      </c>
      <c r="X239" s="199">
        <v>0</v>
      </c>
      <c r="Y239" s="201">
        <v>0</v>
      </c>
      <c r="Z239" s="202">
        <v>0</v>
      </c>
      <c r="AA239" s="203">
        <v>0</v>
      </c>
      <c r="AB239" s="198">
        <v>0</v>
      </c>
      <c r="AC239" s="175">
        <v>30</v>
      </c>
      <c r="AD239" s="241">
        <v>0.39583333333333331</v>
      </c>
      <c r="AE239" s="241">
        <v>0.34722222222222227</v>
      </c>
      <c r="AF239" s="185" t="s">
        <v>98</v>
      </c>
      <c r="AG239" s="185" t="s">
        <v>99</v>
      </c>
      <c r="AH239" s="293" t="s">
        <v>895</v>
      </c>
    </row>
    <row r="240" spans="1:34" s="91" customFormat="1" ht="15.75" x14ac:dyDescent="0.25">
      <c r="A240" s="176">
        <v>46053</v>
      </c>
      <c r="B240" s="184" t="s">
        <v>896</v>
      </c>
      <c r="C240" s="164"/>
      <c r="D240" s="164"/>
      <c r="E240" s="164"/>
      <c r="F240" s="164">
        <v>1</v>
      </c>
      <c r="G240" s="164"/>
      <c r="H240" s="164"/>
      <c r="I240" s="164"/>
      <c r="J240" s="164"/>
      <c r="K240" s="164" t="s">
        <v>897</v>
      </c>
      <c r="L240" s="184" t="s">
        <v>898</v>
      </c>
      <c r="M240" s="187" t="s">
        <v>899</v>
      </c>
      <c r="N240" s="169">
        <v>1</v>
      </c>
      <c r="O240" s="170">
        <v>1</v>
      </c>
      <c r="P240" s="198">
        <v>0</v>
      </c>
      <c r="Q240" s="198">
        <v>0</v>
      </c>
      <c r="R240" s="199">
        <v>0</v>
      </c>
      <c r="S240" s="199">
        <v>0</v>
      </c>
      <c r="T240" s="199">
        <v>0</v>
      </c>
      <c r="U240" s="200">
        <v>0</v>
      </c>
      <c r="V240" s="199">
        <v>0</v>
      </c>
      <c r="W240" s="199">
        <v>0</v>
      </c>
      <c r="X240" s="199">
        <v>0</v>
      </c>
      <c r="Y240" s="201">
        <v>0</v>
      </c>
      <c r="Z240" s="202">
        <v>0</v>
      </c>
      <c r="AA240" s="203">
        <v>0</v>
      </c>
      <c r="AB240" s="198">
        <v>0</v>
      </c>
      <c r="AC240" s="175">
        <v>30</v>
      </c>
      <c r="AD240" s="241">
        <v>0.66666666666666663</v>
      </c>
      <c r="AE240" s="241">
        <v>0.37847222222222227</v>
      </c>
      <c r="AF240" s="185" t="s">
        <v>98</v>
      </c>
      <c r="AG240" s="185" t="s">
        <v>99</v>
      </c>
      <c r="AH240" s="293" t="s">
        <v>900</v>
      </c>
    </row>
    <row r="241" spans="1:34" s="91" customFormat="1" ht="15.75" x14ac:dyDescent="0.25">
      <c r="A241" s="176">
        <v>46053</v>
      </c>
      <c r="B241" s="184" t="s">
        <v>901</v>
      </c>
      <c r="C241" s="164"/>
      <c r="D241" s="164"/>
      <c r="E241" s="164"/>
      <c r="F241" s="164">
        <v>2</v>
      </c>
      <c r="G241" s="164"/>
      <c r="H241" s="164"/>
      <c r="I241" s="164"/>
      <c r="J241" s="164"/>
      <c r="K241" s="164" t="s">
        <v>200</v>
      </c>
      <c r="L241" s="184" t="s">
        <v>902</v>
      </c>
      <c r="M241" s="187" t="s">
        <v>903</v>
      </c>
      <c r="N241" s="169">
        <v>2</v>
      </c>
      <c r="O241" s="170">
        <v>2</v>
      </c>
      <c r="P241" s="198">
        <v>0</v>
      </c>
      <c r="Q241" s="198">
        <v>0</v>
      </c>
      <c r="R241" s="199">
        <v>0</v>
      </c>
      <c r="S241" s="199">
        <v>0</v>
      </c>
      <c r="T241" s="199">
        <v>0</v>
      </c>
      <c r="U241" s="200">
        <v>0</v>
      </c>
      <c r="V241" s="199">
        <v>0</v>
      </c>
      <c r="W241" s="199">
        <v>0</v>
      </c>
      <c r="X241" s="199">
        <v>0</v>
      </c>
      <c r="Y241" s="201">
        <v>0</v>
      </c>
      <c r="Z241" s="202">
        <v>0</v>
      </c>
      <c r="AA241" s="203">
        <v>0</v>
      </c>
      <c r="AB241" s="198">
        <v>0</v>
      </c>
      <c r="AC241" s="175">
        <v>30</v>
      </c>
      <c r="AD241" s="241">
        <v>0.64583333333333337</v>
      </c>
      <c r="AE241" s="241">
        <v>0.40625</v>
      </c>
      <c r="AF241" s="185" t="s">
        <v>98</v>
      </c>
      <c r="AG241" s="185"/>
      <c r="AH241" s="293"/>
    </row>
    <row r="242" spans="1:34" s="91" customFormat="1" ht="15.75" x14ac:dyDescent="0.25">
      <c r="A242" s="176"/>
      <c r="B242" s="184"/>
      <c r="C242" s="164"/>
      <c r="D242" s="164"/>
      <c r="E242" s="164"/>
      <c r="F242" s="164"/>
      <c r="G242" s="164"/>
      <c r="H242" s="164"/>
      <c r="I242" s="164"/>
      <c r="J242" s="164"/>
      <c r="K242" s="322"/>
      <c r="L242" s="184"/>
      <c r="M242" s="187"/>
      <c r="N242" s="169">
        <v>0</v>
      </c>
      <c r="O242" s="170">
        <v>0</v>
      </c>
      <c r="P242" s="198">
        <v>0</v>
      </c>
      <c r="Q242" s="198">
        <v>0</v>
      </c>
      <c r="R242" s="199">
        <v>0</v>
      </c>
      <c r="S242" s="199">
        <v>0</v>
      </c>
      <c r="T242" s="199">
        <v>0</v>
      </c>
      <c r="U242" s="200">
        <v>0</v>
      </c>
      <c r="V242" s="199">
        <v>0</v>
      </c>
      <c r="W242" s="199">
        <v>0</v>
      </c>
      <c r="X242" s="199">
        <v>0</v>
      </c>
      <c r="Y242" s="201">
        <v>0</v>
      </c>
      <c r="Z242" s="202">
        <v>0</v>
      </c>
      <c r="AA242" s="203">
        <v>0</v>
      </c>
      <c r="AB242" s="198">
        <v>0</v>
      </c>
      <c r="AC242" s="175"/>
      <c r="AD242" s="164"/>
      <c r="AE242" s="164"/>
      <c r="AF242" s="185"/>
      <c r="AG242" s="185"/>
      <c r="AH242" s="293"/>
    </row>
    <row r="243" spans="1:34" s="70" customFormat="1" ht="15.75" x14ac:dyDescent="0.25">
      <c r="A243" s="267"/>
      <c r="B243" s="276"/>
      <c r="C243" s="160"/>
      <c r="D243" s="160"/>
      <c r="E243" s="160"/>
      <c r="F243" s="160"/>
      <c r="G243" s="160"/>
      <c r="H243" s="160"/>
      <c r="I243" s="160">
        <v>40</v>
      </c>
      <c r="J243" s="160"/>
      <c r="K243" s="160" t="s">
        <v>904</v>
      </c>
      <c r="L243" s="276"/>
      <c r="M243" s="277"/>
      <c r="N243" s="161">
        <v>40</v>
      </c>
      <c r="O243" s="162">
        <v>40</v>
      </c>
      <c r="P243" s="198">
        <v>0</v>
      </c>
      <c r="Q243" s="198">
        <v>0</v>
      </c>
      <c r="R243" s="199">
        <v>0</v>
      </c>
      <c r="S243" s="199">
        <v>0</v>
      </c>
      <c r="T243" s="199">
        <v>0</v>
      </c>
      <c r="U243" s="200">
        <v>0</v>
      </c>
      <c r="V243" s="199">
        <v>0</v>
      </c>
      <c r="W243" s="199">
        <v>0</v>
      </c>
      <c r="X243" s="199">
        <v>0</v>
      </c>
      <c r="Y243" s="201">
        <v>0</v>
      </c>
      <c r="Z243" s="202">
        <v>0</v>
      </c>
      <c r="AA243" s="203">
        <v>0</v>
      </c>
      <c r="AB243" s="198">
        <v>0</v>
      </c>
      <c r="AC243" s="268"/>
      <c r="AD243" s="164"/>
      <c r="AE243" s="165"/>
      <c r="AF243" s="110"/>
      <c r="AG243" s="110"/>
      <c r="AH243" s="153"/>
    </row>
    <row r="244" spans="1:34" s="70" customFormat="1" ht="15.75" x14ac:dyDescent="0.25">
      <c r="A244" s="267"/>
      <c r="B244" s="276"/>
      <c r="C244" s="160"/>
      <c r="D244" s="160"/>
      <c r="E244" s="160"/>
      <c r="F244" s="160"/>
      <c r="G244" s="160"/>
      <c r="H244" s="160"/>
      <c r="I244" s="160">
        <v>2</v>
      </c>
      <c r="J244" s="160"/>
      <c r="K244" s="160" t="s">
        <v>129</v>
      </c>
      <c r="L244" s="276"/>
      <c r="M244" s="277"/>
      <c r="N244" s="161">
        <v>2</v>
      </c>
      <c r="O244" s="162">
        <v>2</v>
      </c>
      <c r="P244" s="198">
        <v>0</v>
      </c>
      <c r="Q244" s="198">
        <v>0</v>
      </c>
      <c r="R244" s="199">
        <v>0</v>
      </c>
      <c r="S244" s="199">
        <v>0</v>
      </c>
      <c r="T244" s="199">
        <v>0</v>
      </c>
      <c r="U244" s="200">
        <v>0</v>
      </c>
      <c r="V244" s="199">
        <v>0</v>
      </c>
      <c r="W244" s="199">
        <v>0</v>
      </c>
      <c r="X244" s="199">
        <v>0</v>
      </c>
      <c r="Y244" s="201">
        <v>0</v>
      </c>
      <c r="Z244" s="202">
        <v>0</v>
      </c>
      <c r="AA244" s="203">
        <v>0</v>
      </c>
      <c r="AB244" s="198">
        <v>0</v>
      </c>
      <c r="AC244" s="268"/>
      <c r="AD244" s="164"/>
      <c r="AE244" s="165"/>
      <c r="AF244" s="110"/>
      <c r="AG244" s="110"/>
      <c r="AH244" s="153"/>
    </row>
    <row r="245" spans="1:34" s="70" customFormat="1" ht="15.75" x14ac:dyDescent="0.25">
      <c r="A245" s="267"/>
      <c r="B245" s="276"/>
      <c r="C245" s="160"/>
      <c r="D245" s="160"/>
      <c r="E245" s="160"/>
      <c r="F245" s="160"/>
      <c r="G245" s="160"/>
      <c r="H245" s="160"/>
      <c r="I245" s="160">
        <v>10</v>
      </c>
      <c r="J245" s="160"/>
      <c r="K245" s="160" t="s">
        <v>643</v>
      </c>
      <c r="L245" s="276"/>
      <c r="M245" s="277"/>
      <c r="N245" s="161">
        <v>10</v>
      </c>
      <c r="O245" s="162">
        <v>10</v>
      </c>
      <c r="P245" s="198">
        <v>0</v>
      </c>
      <c r="Q245" s="198">
        <v>0</v>
      </c>
      <c r="R245" s="199">
        <v>0</v>
      </c>
      <c r="S245" s="199">
        <v>0</v>
      </c>
      <c r="T245" s="199">
        <v>0</v>
      </c>
      <c r="U245" s="200">
        <v>0</v>
      </c>
      <c r="V245" s="199">
        <v>0</v>
      </c>
      <c r="W245" s="199">
        <v>0</v>
      </c>
      <c r="X245" s="199">
        <v>0</v>
      </c>
      <c r="Y245" s="201">
        <v>0</v>
      </c>
      <c r="Z245" s="202">
        <v>0</v>
      </c>
      <c r="AA245" s="203">
        <v>0</v>
      </c>
      <c r="AB245" s="198">
        <v>0</v>
      </c>
      <c r="AC245" s="268"/>
      <c r="AD245" s="164"/>
      <c r="AE245" s="165"/>
      <c r="AF245" s="110"/>
      <c r="AG245" s="110"/>
      <c r="AH245" s="153"/>
    </row>
    <row r="246" spans="1:34" s="70" customFormat="1" ht="15.75" x14ac:dyDescent="0.25">
      <c r="A246" s="267"/>
      <c r="B246" s="276"/>
      <c r="C246" s="160"/>
      <c r="D246" s="160"/>
      <c r="E246" s="160"/>
      <c r="F246" s="160"/>
      <c r="G246" s="160"/>
      <c r="H246" s="160"/>
      <c r="I246" s="160">
        <v>8</v>
      </c>
      <c r="J246" s="160"/>
      <c r="K246" s="160" t="s">
        <v>905</v>
      </c>
      <c r="L246" s="276"/>
      <c r="M246" s="277"/>
      <c r="N246" s="161">
        <v>8</v>
      </c>
      <c r="O246" s="162">
        <v>8</v>
      </c>
      <c r="P246" s="198"/>
      <c r="Q246" s="198"/>
      <c r="R246" s="199"/>
      <c r="S246" s="199"/>
      <c r="T246" s="199"/>
      <c r="U246" s="200"/>
      <c r="V246" s="199"/>
      <c r="W246" s="199"/>
      <c r="X246" s="199"/>
      <c r="Y246" s="201"/>
      <c r="Z246" s="202"/>
      <c r="AA246" s="203"/>
      <c r="AB246" s="198"/>
      <c r="AC246" s="268"/>
      <c r="AD246" s="164"/>
      <c r="AE246" s="165"/>
      <c r="AF246" s="110"/>
      <c r="AG246" s="110"/>
      <c r="AH246" s="153"/>
    </row>
    <row r="247" spans="1:34" s="70" customFormat="1" ht="15.75" x14ac:dyDescent="0.25">
      <c r="A247" s="267"/>
      <c r="B247" s="276"/>
      <c r="C247" s="160"/>
      <c r="D247" s="160"/>
      <c r="E247" s="160"/>
      <c r="F247" s="160"/>
      <c r="G247" s="160"/>
      <c r="H247" s="160"/>
      <c r="I247" s="160">
        <v>1</v>
      </c>
      <c r="J247" s="160"/>
      <c r="K247" s="160" t="s">
        <v>476</v>
      </c>
      <c r="L247" s="276"/>
      <c r="M247" s="277"/>
      <c r="N247" s="161">
        <v>1</v>
      </c>
      <c r="O247" s="162">
        <v>1</v>
      </c>
      <c r="P247" s="198"/>
      <c r="Q247" s="198"/>
      <c r="R247" s="199"/>
      <c r="S247" s="199"/>
      <c r="T247" s="199"/>
      <c r="U247" s="200"/>
      <c r="V247" s="199"/>
      <c r="W247" s="199"/>
      <c r="X247" s="199"/>
      <c r="Y247" s="201"/>
      <c r="Z247" s="202"/>
      <c r="AA247" s="203"/>
      <c r="AB247" s="198"/>
      <c r="AC247" s="268"/>
      <c r="AD247" s="164"/>
      <c r="AE247" s="165"/>
      <c r="AF247" s="110"/>
      <c r="AG247" s="110"/>
      <c r="AH247" s="153"/>
    </row>
    <row r="248" spans="1:34" s="70" customFormat="1" ht="15.75" x14ac:dyDescent="0.25">
      <c r="A248" s="267"/>
      <c r="B248" s="276"/>
      <c r="C248" s="160"/>
      <c r="D248" s="160"/>
      <c r="E248" s="160"/>
      <c r="F248" s="160"/>
      <c r="G248" s="160"/>
      <c r="H248" s="160"/>
      <c r="I248" s="160">
        <v>1</v>
      </c>
      <c r="J248" s="160"/>
      <c r="K248" s="160" t="s">
        <v>476</v>
      </c>
      <c r="L248" s="276"/>
      <c r="M248" s="277"/>
      <c r="N248" s="161">
        <v>1</v>
      </c>
      <c r="O248" s="162">
        <v>1</v>
      </c>
      <c r="P248" s="198"/>
      <c r="Q248" s="198"/>
      <c r="R248" s="199"/>
      <c r="S248" s="199"/>
      <c r="T248" s="199"/>
      <c r="U248" s="200"/>
      <c r="V248" s="199"/>
      <c r="W248" s="199"/>
      <c r="X248" s="199"/>
      <c r="Y248" s="201"/>
      <c r="Z248" s="202"/>
      <c r="AA248" s="203"/>
      <c r="AB248" s="198"/>
      <c r="AC248" s="268"/>
      <c r="AD248" s="164"/>
      <c r="AE248" s="165"/>
      <c r="AF248" s="110"/>
      <c r="AG248" s="110"/>
      <c r="AH248" s="153"/>
    </row>
    <row r="249" spans="1:34" s="70" customFormat="1" ht="15.75" x14ac:dyDescent="0.25">
      <c r="A249" s="267"/>
      <c r="B249" s="276"/>
      <c r="C249" s="160"/>
      <c r="D249" s="160"/>
      <c r="E249" s="160"/>
      <c r="F249" s="160"/>
      <c r="G249" s="160"/>
      <c r="H249" s="160"/>
      <c r="I249" s="160">
        <v>1</v>
      </c>
      <c r="J249" s="160"/>
      <c r="K249" s="160" t="s">
        <v>906</v>
      </c>
      <c r="L249" s="276"/>
      <c r="M249" s="277"/>
      <c r="N249" s="161">
        <v>1</v>
      </c>
      <c r="O249" s="162">
        <v>1</v>
      </c>
      <c r="P249" s="198"/>
      <c r="Q249" s="198"/>
      <c r="R249" s="199"/>
      <c r="S249" s="199"/>
      <c r="T249" s="199"/>
      <c r="U249" s="200"/>
      <c r="V249" s="199"/>
      <c r="W249" s="199"/>
      <c r="X249" s="199"/>
      <c r="Y249" s="201"/>
      <c r="Z249" s="202"/>
      <c r="AA249" s="203"/>
      <c r="AB249" s="198"/>
      <c r="AC249" s="268"/>
      <c r="AD249" s="164"/>
      <c r="AE249" s="165"/>
      <c r="AF249" s="110"/>
      <c r="AG249" s="110"/>
      <c r="AH249" s="153"/>
    </row>
    <row r="250" spans="1:34" s="70" customFormat="1" ht="15.75" x14ac:dyDescent="0.25">
      <c r="A250" s="267"/>
      <c r="B250" s="276"/>
      <c r="C250" s="160"/>
      <c r="D250" s="160"/>
      <c r="E250" s="160"/>
      <c r="F250" s="160"/>
      <c r="G250" s="160"/>
      <c r="H250" s="160"/>
      <c r="I250" s="160">
        <v>2</v>
      </c>
      <c r="J250" s="160"/>
      <c r="K250" s="160" t="s">
        <v>181</v>
      </c>
      <c r="L250" s="276"/>
      <c r="M250" s="277"/>
      <c r="N250" s="161">
        <v>2</v>
      </c>
      <c r="O250" s="162">
        <v>2</v>
      </c>
      <c r="P250" s="198"/>
      <c r="Q250" s="198"/>
      <c r="R250" s="199"/>
      <c r="S250" s="199"/>
      <c r="T250" s="199"/>
      <c r="U250" s="200"/>
      <c r="V250" s="199"/>
      <c r="W250" s="199"/>
      <c r="X250" s="199"/>
      <c r="Y250" s="201"/>
      <c r="Z250" s="202"/>
      <c r="AA250" s="203"/>
      <c r="AB250" s="198"/>
      <c r="AC250" s="268"/>
      <c r="AD250" s="164"/>
      <c r="AE250" s="165"/>
      <c r="AF250" s="110"/>
      <c r="AG250" s="110"/>
      <c r="AH250" s="153"/>
    </row>
    <row r="251" spans="1:34" s="70" customFormat="1" ht="15.75" x14ac:dyDescent="0.25">
      <c r="A251" s="267"/>
      <c r="B251" s="276"/>
      <c r="C251" s="160"/>
      <c r="D251" s="160"/>
      <c r="E251" s="160"/>
      <c r="F251" s="160"/>
      <c r="G251" s="160"/>
      <c r="H251" s="160"/>
      <c r="I251" s="160">
        <v>2</v>
      </c>
      <c r="J251" s="160"/>
      <c r="K251" s="160"/>
      <c r="L251" s="276"/>
      <c r="M251" s="277"/>
      <c r="N251" s="161">
        <v>2</v>
      </c>
      <c r="O251" s="162">
        <v>2</v>
      </c>
      <c r="P251" s="198"/>
      <c r="Q251" s="198"/>
      <c r="R251" s="199"/>
      <c r="S251" s="199"/>
      <c r="T251" s="199"/>
      <c r="U251" s="200"/>
      <c r="V251" s="199"/>
      <c r="W251" s="199"/>
      <c r="X251" s="199"/>
      <c r="Y251" s="201"/>
      <c r="Z251" s="202"/>
      <c r="AA251" s="203"/>
      <c r="AB251" s="198"/>
      <c r="AC251" s="268"/>
      <c r="AD251" s="164"/>
      <c r="AE251" s="165"/>
      <c r="AF251" s="110"/>
      <c r="AG251" s="110"/>
      <c r="AH251" s="153"/>
    </row>
    <row r="252" spans="1:34" s="70" customFormat="1" ht="15.75" x14ac:dyDescent="0.25">
      <c r="A252" s="267"/>
      <c r="B252" s="276"/>
      <c r="C252" s="160"/>
      <c r="D252" s="160"/>
      <c r="E252" s="160"/>
      <c r="F252" s="160"/>
      <c r="G252" s="160"/>
      <c r="H252" s="160"/>
      <c r="I252" s="160">
        <v>2</v>
      </c>
      <c r="J252" s="160"/>
      <c r="K252" s="160"/>
      <c r="L252" s="276"/>
      <c r="M252" s="277"/>
      <c r="N252" s="161">
        <v>2</v>
      </c>
      <c r="O252" s="162">
        <v>2</v>
      </c>
      <c r="P252" s="198"/>
      <c r="Q252" s="198"/>
      <c r="R252" s="199"/>
      <c r="S252" s="199"/>
      <c r="T252" s="199"/>
      <c r="U252" s="200"/>
      <c r="V252" s="199"/>
      <c r="W252" s="199"/>
      <c r="X252" s="199"/>
      <c r="Y252" s="201"/>
      <c r="Z252" s="202"/>
      <c r="AA252" s="203"/>
      <c r="AB252" s="198"/>
      <c r="AC252" s="268"/>
      <c r="AD252" s="164"/>
      <c r="AE252" s="165"/>
      <c r="AF252" s="110"/>
      <c r="AG252" s="110"/>
      <c r="AH252" s="153"/>
    </row>
    <row r="253" spans="1:34" s="70" customFormat="1" ht="15.75" x14ac:dyDescent="0.25">
      <c r="A253" s="267"/>
      <c r="B253" s="276"/>
      <c r="C253" s="160"/>
      <c r="D253" s="160"/>
      <c r="E253" s="160"/>
      <c r="F253" s="160"/>
      <c r="G253" s="160"/>
      <c r="H253" s="160"/>
      <c r="I253" s="160">
        <v>2</v>
      </c>
      <c r="J253" s="160"/>
      <c r="K253" s="160" t="s">
        <v>648</v>
      </c>
      <c r="L253" s="276"/>
      <c r="M253" s="277"/>
      <c r="N253" s="161">
        <v>2</v>
      </c>
      <c r="O253" s="162">
        <v>2</v>
      </c>
      <c r="P253" s="198"/>
      <c r="Q253" s="198"/>
      <c r="R253" s="199"/>
      <c r="S253" s="199"/>
      <c r="T253" s="199"/>
      <c r="U253" s="200"/>
      <c r="V253" s="199"/>
      <c r="W253" s="199"/>
      <c r="X253" s="199"/>
      <c r="Y253" s="201"/>
      <c r="Z253" s="202"/>
      <c r="AA253" s="203"/>
      <c r="AB253" s="198"/>
      <c r="AC253" s="268"/>
      <c r="AD253" s="164"/>
      <c r="AE253" s="165"/>
      <c r="AF253" s="110"/>
      <c r="AG253" s="110"/>
      <c r="AH253" s="153"/>
    </row>
    <row r="254" spans="1:34" s="70" customFormat="1" ht="15.75" x14ac:dyDescent="0.25">
      <c r="A254" s="267"/>
      <c r="B254" s="276"/>
      <c r="C254" s="160"/>
      <c r="D254" s="160"/>
      <c r="E254" s="160"/>
      <c r="F254" s="160"/>
      <c r="G254" s="160"/>
      <c r="H254" s="160"/>
      <c r="I254" s="160">
        <v>2</v>
      </c>
      <c r="J254" s="160"/>
      <c r="K254" s="160" t="s">
        <v>907</v>
      </c>
      <c r="L254" s="276"/>
      <c r="M254" s="277"/>
      <c r="N254" s="161">
        <v>2</v>
      </c>
      <c r="O254" s="162">
        <v>2</v>
      </c>
      <c r="P254" s="198"/>
      <c r="Q254" s="198"/>
      <c r="R254" s="199"/>
      <c r="S254" s="199"/>
      <c r="T254" s="199"/>
      <c r="U254" s="200"/>
      <c r="V254" s="199"/>
      <c r="W254" s="199"/>
      <c r="X254" s="199"/>
      <c r="Y254" s="201"/>
      <c r="Z254" s="202"/>
      <c r="AA254" s="203"/>
      <c r="AB254" s="198"/>
      <c r="AC254" s="268"/>
      <c r="AD254" s="164"/>
      <c r="AE254" s="165"/>
      <c r="AF254" s="110"/>
      <c r="AG254" s="110"/>
      <c r="AH254" s="153"/>
    </row>
    <row r="255" spans="1:34" s="70" customFormat="1" ht="15.75" x14ac:dyDescent="0.25">
      <c r="A255" s="267"/>
      <c r="B255" s="276"/>
      <c r="C255" s="160"/>
      <c r="D255" s="160"/>
      <c r="E255" s="160"/>
      <c r="F255" s="160"/>
      <c r="G255" s="160"/>
      <c r="H255" s="160"/>
      <c r="I255" s="160">
        <v>2</v>
      </c>
      <c r="J255" s="160"/>
      <c r="K255" s="160" t="s">
        <v>908</v>
      </c>
      <c r="L255" s="276"/>
      <c r="M255" s="277"/>
      <c r="N255" s="161">
        <v>2</v>
      </c>
      <c r="O255" s="162">
        <v>2</v>
      </c>
      <c r="P255" s="198"/>
      <c r="Q255" s="198"/>
      <c r="R255" s="199"/>
      <c r="S255" s="199"/>
      <c r="T255" s="199"/>
      <c r="U255" s="200"/>
      <c r="V255" s="199"/>
      <c r="W255" s="199"/>
      <c r="X255" s="199"/>
      <c r="Y255" s="201"/>
      <c r="Z255" s="202"/>
      <c r="AA255" s="203"/>
      <c r="AB255" s="198"/>
      <c r="AC255" s="268"/>
      <c r="AD255" s="164"/>
      <c r="AE255" s="165"/>
      <c r="AF255" s="110"/>
      <c r="AG255" s="110"/>
      <c r="AH255" s="153"/>
    </row>
    <row r="256" spans="1:34" s="70" customFormat="1" ht="15.75" x14ac:dyDescent="0.25">
      <c r="A256" s="267"/>
      <c r="B256" s="276"/>
      <c r="C256" s="160"/>
      <c r="D256" s="160"/>
      <c r="E256" s="160"/>
      <c r="F256" s="160"/>
      <c r="G256" s="160"/>
      <c r="H256" s="160"/>
      <c r="I256" s="160">
        <v>2</v>
      </c>
      <c r="J256" s="160"/>
      <c r="K256" s="160" t="s">
        <v>908</v>
      </c>
      <c r="L256" s="276"/>
      <c r="M256" s="277"/>
      <c r="N256" s="161">
        <v>2</v>
      </c>
      <c r="O256" s="162">
        <v>2</v>
      </c>
      <c r="P256" s="198"/>
      <c r="Q256" s="198"/>
      <c r="R256" s="199"/>
      <c r="S256" s="199"/>
      <c r="T256" s="199"/>
      <c r="U256" s="200"/>
      <c r="V256" s="199"/>
      <c r="W256" s="199"/>
      <c r="X256" s="199"/>
      <c r="Y256" s="201"/>
      <c r="Z256" s="202"/>
      <c r="AA256" s="203"/>
      <c r="AB256" s="198"/>
      <c r="AC256" s="268"/>
      <c r="AD256" s="164"/>
      <c r="AE256" s="165"/>
      <c r="AF256" s="110"/>
      <c r="AG256" s="110"/>
      <c r="AH256" s="153"/>
    </row>
    <row r="257" spans="1:34" s="70" customFormat="1" ht="15.75" x14ac:dyDescent="0.25">
      <c r="A257" s="267"/>
      <c r="B257" s="276"/>
      <c r="C257" s="160"/>
      <c r="D257" s="160"/>
      <c r="E257" s="160"/>
      <c r="F257" s="160"/>
      <c r="G257" s="160"/>
      <c r="H257" s="160"/>
      <c r="I257" s="160">
        <v>2</v>
      </c>
      <c r="J257" s="160"/>
      <c r="K257" s="160" t="s">
        <v>908</v>
      </c>
      <c r="L257" s="276"/>
      <c r="M257" s="277"/>
      <c r="N257" s="161">
        <v>2</v>
      </c>
      <c r="O257" s="162">
        <v>2</v>
      </c>
      <c r="P257" s="198"/>
      <c r="Q257" s="198"/>
      <c r="R257" s="199"/>
      <c r="S257" s="199"/>
      <c r="T257" s="199"/>
      <c r="U257" s="200"/>
      <c r="V257" s="199"/>
      <c r="W257" s="199"/>
      <c r="X257" s="199"/>
      <c r="Y257" s="201"/>
      <c r="Z257" s="202"/>
      <c r="AA257" s="203"/>
      <c r="AB257" s="198"/>
      <c r="AC257" s="268"/>
      <c r="AD257" s="164"/>
      <c r="AE257" s="165"/>
      <c r="AF257" s="110"/>
      <c r="AG257" s="110"/>
      <c r="AH257" s="153"/>
    </row>
    <row r="258" spans="1:34" s="70" customFormat="1" ht="15.75" x14ac:dyDescent="0.25">
      <c r="A258" s="267"/>
      <c r="B258" s="276"/>
      <c r="C258" s="160"/>
      <c r="D258" s="160"/>
      <c r="E258" s="160"/>
      <c r="F258" s="160"/>
      <c r="G258" s="160"/>
      <c r="H258" s="160"/>
      <c r="I258" s="160">
        <v>2</v>
      </c>
      <c r="J258" s="160"/>
      <c r="K258" s="160" t="s">
        <v>907</v>
      </c>
      <c r="L258" s="276"/>
      <c r="M258" s="277"/>
      <c r="N258" s="161">
        <v>2</v>
      </c>
      <c r="O258" s="162">
        <v>2</v>
      </c>
      <c r="P258" s="198"/>
      <c r="Q258" s="198"/>
      <c r="R258" s="199"/>
      <c r="S258" s="199"/>
      <c r="T258" s="199"/>
      <c r="U258" s="200"/>
      <c r="V258" s="199"/>
      <c r="W258" s="199"/>
      <c r="X258" s="199"/>
      <c r="Y258" s="201"/>
      <c r="Z258" s="202"/>
      <c r="AA258" s="203"/>
      <c r="AB258" s="198"/>
      <c r="AC258" s="268"/>
      <c r="AD258" s="164"/>
      <c r="AE258" s="165"/>
      <c r="AF258" s="110"/>
      <c r="AG258" s="110"/>
      <c r="AH258" s="153"/>
    </row>
    <row r="259" spans="1:34" s="70" customFormat="1" ht="15.75" x14ac:dyDescent="0.25">
      <c r="A259" s="267"/>
      <c r="B259" s="276"/>
      <c r="C259" s="160"/>
      <c r="D259" s="160"/>
      <c r="E259" s="160"/>
      <c r="F259" s="160"/>
      <c r="G259" s="160"/>
      <c r="H259" s="160"/>
      <c r="I259" s="160">
        <v>4</v>
      </c>
      <c r="J259" s="160"/>
      <c r="K259" s="160" t="s">
        <v>908</v>
      </c>
      <c r="L259" s="276"/>
      <c r="M259" s="277"/>
      <c r="N259" s="161">
        <v>4</v>
      </c>
      <c r="O259" s="162">
        <v>4</v>
      </c>
      <c r="P259" s="198"/>
      <c r="Q259" s="198"/>
      <c r="R259" s="199"/>
      <c r="S259" s="199"/>
      <c r="T259" s="199"/>
      <c r="U259" s="200"/>
      <c r="V259" s="199"/>
      <c r="W259" s="199"/>
      <c r="X259" s="199"/>
      <c r="Y259" s="201"/>
      <c r="Z259" s="202"/>
      <c r="AA259" s="203"/>
      <c r="AB259" s="198"/>
      <c r="AC259" s="268"/>
      <c r="AD259" s="164"/>
      <c r="AE259" s="165"/>
      <c r="AF259" s="110"/>
      <c r="AG259" s="110"/>
      <c r="AH259" s="153"/>
    </row>
    <row r="260" spans="1:34" s="70" customFormat="1" ht="15.75" x14ac:dyDescent="0.25">
      <c r="A260" s="267"/>
      <c r="B260" s="276"/>
      <c r="C260" s="160"/>
      <c r="D260" s="160"/>
      <c r="E260" s="160"/>
      <c r="F260" s="160"/>
      <c r="G260" s="160"/>
      <c r="H260" s="160"/>
      <c r="I260" s="160">
        <v>6</v>
      </c>
      <c r="J260" s="160"/>
      <c r="K260" s="160" t="s">
        <v>908</v>
      </c>
      <c r="L260" s="276"/>
      <c r="M260" s="277"/>
      <c r="N260" s="161">
        <v>6</v>
      </c>
      <c r="O260" s="162">
        <v>6</v>
      </c>
      <c r="P260" s="198"/>
      <c r="Q260" s="198"/>
      <c r="R260" s="199"/>
      <c r="S260" s="199"/>
      <c r="T260" s="199"/>
      <c r="U260" s="200"/>
      <c r="V260" s="199"/>
      <c r="W260" s="199"/>
      <c r="X260" s="199"/>
      <c r="Y260" s="201"/>
      <c r="Z260" s="202"/>
      <c r="AA260" s="203"/>
      <c r="AB260" s="198"/>
      <c r="AC260" s="268"/>
      <c r="AD260" s="164"/>
      <c r="AE260" s="165"/>
      <c r="AF260" s="110"/>
      <c r="AG260" s="110"/>
      <c r="AH260" s="153"/>
    </row>
    <row r="261" spans="1:34" s="70" customFormat="1" ht="15.75" x14ac:dyDescent="0.25">
      <c r="A261" s="267"/>
      <c r="B261" s="276"/>
      <c r="C261" s="160"/>
      <c r="D261" s="160"/>
      <c r="E261" s="160"/>
      <c r="F261" s="160"/>
      <c r="G261" s="160"/>
      <c r="H261" s="160"/>
      <c r="I261" s="160">
        <v>2</v>
      </c>
      <c r="J261" s="160"/>
      <c r="K261" s="160" t="s">
        <v>907</v>
      </c>
      <c r="L261" s="276"/>
      <c r="M261" s="277"/>
      <c r="N261" s="161">
        <v>2</v>
      </c>
      <c r="O261" s="162">
        <v>2</v>
      </c>
      <c r="P261" s="198"/>
      <c r="Q261" s="198"/>
      <c r="R261" s="199"/>
      <c r="S261" s="199"/>
      <c r="T261" s="199"/>
      <c r="U261" s="200"/>
      <c r="V261" s="199"/>
      <c r="W261" s="199"/>
      <c r="X261" s="199"/>
      <c r="Y261" s="201"/>
      <c r="Z261" s="202"/>
      <c r="AA261" s="203"/>
      <c r="AB261" s="198"/>
      <c r="AC261" s="268"/>
      <c r="AD261" s="164"/>
      <c r="AE261" s="165"/>
      <c r="AF261" s="110"/>
      <c r="AG261" s="110"/>
      <c r="AH261" s="153"/>
    </row>
    <row r="262" spans="1:34" s="70" customFormat="1" ht="15.75" x14ac:dyDescent="0.25">
      <c r="A262" s="267"/>
      <c r="B262" s="276"/>
      <c r="C262" s="160"/>
      <c r="D262" s="160"/>
      <c r="E262" s="160"/>
      <c r="F262" s="160"/>
      <c r="G262" s="160"/>
      <c r="H262" s="160"/>
      <c r="I262" s="160">
        <v>2</v>
      </c>
      <c r="J262" s="160"/>
      <c r="K262" s="160" t="s">
        <v>908</v>
      </c>
      <c r="L262" s="276"/>
      <c r="M262" s="277"/>
      <c r="N262" s="161">
        <v>2</v>
      </c>
      <c r="O262" s="162">
        <v>2</v>
      </c>
      <c r="P262" s="198"/>
      <c r="Q262" s="198"/>
      <c r="R262" s="199"/>
      <c r="S262" s="199"/>
      <c r="T262" s="199"/>
      <c r="U262" s="200"/>
      <c r="V262" s="199"/>
      <c r="W262" s="199"/>
      <c r="X262" s="199"/>
      <c r="Y262" s="201"/>
      <c r="Z262" s="202"/>
      <c r="AA262" s="203"/>
      <c r="AB262" s="198"/>
      <c r="AC262" s="268"/>
      <c r="AD262" s="164"/>
      <c r="AE262" s="165"/>
      <c r="AF262" s="110"/>
      <c r="AG262" s="110"/>
      <c r="AH262" s="153"/>
    </row>
    <row r="263" spans="1:34" s="70" customFormat="1" ht="15.75" x14ac:dyDescent="0.25">
      <c r="A263" s="267"/>
      <c r="B263" s="276"/>
      <c r="C263" s="160"/>
      <c r="D263" s="160"/>
      <c r="E263" s="160"/>
      <c r="F263" s="160"/>
      <c r="G263" s="160"/>
      <c r="H263" s="160"/>
      <c r="I263" s="160">
        <v>2</v>
      </c>
      <c r="J263" s="160"/>
      <c r="K263" s="160" t="s">
        <v>907</v>
      </c>
      <c r="L263" s="276"/>
      <c r="M263" s="277"/>
      <c r="N263" s="161">
        <v>2</v>
      </c>
      <c r="O263" s="162">
        <v>2</v>
      </c>
      <c r="P263" s="198"/>
      <c r="Q263" s="198"/>
      <c r="R263" s="199"/>
      <c r="S263" s="199"/>
      <c r="T263" s="199"/>
      <c r="U263" s="200"/>
      <c r="V263" s="199"/>
      <c r="W263" s="199"/>
      <c r="X263" s="199"/>
      <c r="Y263" s="201"/>
      <c r="Z263" s="202"/>
      <c r="AA263" s="203"/>
      <c r="AB263" s="198"/>
      <c r="AC263" s="268"/>
      <c r="AD263" s="164"/>
      <c r="AE263" s="165"/>
      <c r="AF263" s="110"/>
      <c r="AG263" s="110"/>
      <c r="AH263" s="153"/>
    </row>
    <row r="264" spans="1:34" s="70" customFormat="1" ht="15.75" x14ac:dyDescent="0.25">
      <c r="A264" s="267"/>
      <c r="B264" s="276"/>
      <c r="C264" s="160"/>
      <c r="D264" s="160"/>
      <c r="E264" s="160"/>
      <c r="F264" s="160"/>
      <c r="G264" s="160"/>
      <c r="H264" s="160"/>
      <c r="I264" s="160">
        <v>2</v>
      </c>
      <c r="J264" s="160"/>
      <c r="K264" s="160" t="s">
        <v>907</v>
      </c>
      <c r="L264" s="276"/>
      <c r="M264" s="277"/>
      <c r="N264" s="161">
        <v>2</v>
      </c>
      <c r="O264" s="162">
        <v>2</v>
      </c>
      <c r="P264" s="198"/>
      <c r="Q264" s="198"/>
      <c r="R264" s="199"/>
      <c r="S264" s="199"/>
      <c r="T264" s="199"/>
      <c r="U264" s="200"/>
      <c r="V264" s="199"/>
      <c r="W264" s="199"/>
      <c r="X264" s="199"/>
      <c r="Y264" s="201"/>
      <c r="Z264" s="202"/>
      <c r="AA264" s="203"/>
      <c r="AB264" s="198"/>
      <c r="AC264" s="268"/>
      <c r="AD264" s="164"/>
      <c r="AE264" s="165"/>
      <c r="AF264" s="110"/>
      <c r="AG264" s="110"/>
      <c r="AH264" s="153"/>
    </row>
    <row r="265" spans="1:34" s="70" customFormat="1" ht="15.75" x14ac:dyDescent="0.25">
      <c r="A265" s="267"/>
      <c r="B265" s="276"/>
      <c r="C265" s="160"/>
      <c r="D265" s="160"/>
      <c r="E265" s="160"/>
      <c r="F265" s="160"/>
      <c r="G265" s="160"/>
      <c r="H265" s="160"/>
      <c r="I265" s="160">
        <v>2</v>
      </c>
      <c r="J265" s="160"/>
      <c r="K265" s="160" t="s">
        <v>907</v>
      </c>
      <c r="L265" s="276"/>
      <c r="M265" s="277"/>
      <c r="N265" s="161">
        <v>2</v>
      </c>
      <c r="O265" s="162">
        <v>2</v>
      </c>
      <c r="P265" s="198"/>
      <c r="Q265" s="198"/>
      <c r="R265" s="199"/>
      <c r="S265" s="199"/>
      <c r="T265" s="199"/>
      <c r="U265" s="200"/>
      <c r="V265" s="199"/>
      <c r="W265" s="199"/>
      <c r="X265" s="199"/>
      <c r="Y265" s="201"/>
      <c r="Z265" s="202"/>
      <c r="AA265" s="203"/>
      <c r="AB265" s="198"/>
      <c r="AC265" s="268"/>
      <c r="AD265" s="164"/>
      <c r="AE265" s="165"/>
      <c r="AF265" s="110"/>
      <c r="AG265" s="110"/>
      <c r="AH265" s="153"/>
    </row>
    <row r="266" spans="1:34" s="70" customFormat="1" ht="15.75" x14ac:dyDescent="0.25">
      <c r="A266" s="267"/>
      <c r="B266" s="276"/>
      <c r="C266" s="160"/>
      <c r="D266" s="160"/>
      <c r="E266" s="160"/>
      <c r="F266" s="160"/>
      <c r="G266" s="160"/>
      <c r="H266" s="160"/>
      <c r="I266" s="160">
        <v>1</v>
      </c>
      <c r="J266" s="160"/>
      <c r="K266" s="160" t="s">
        <v>907</v>
      </c>
      <c r="L266" s="276"/>
      <c r="M266" s="277"/>
      <c r="N266" s="161">
        <v>1</v>
      </c>
      <c r="O266" s="162">
        <v>1</v>
      </c>
      <c r="P266" s="198"/>
      <c r="Q266" s="198"/>
      <c r="R266" s="199"/>
      <c r="S266" s="199"/>
      <c r="T266" s="199"/>
      <c r="U266" s="200"/>
      <c r="V266" s="199"/>
      <c r="W266" s="199"/>
      <c r="X266" s="199"/>
      <c r="Y266" s="201"/>
      <c r="Z266" s="202"/>
      <c r="AA266" s="203"/>
      <c r="AB266" s="198"/>
      <c r="AC266" s="268"/>
      <c r="AD266" s="164"/>
      <c r="AE266" s="165"/>
      <c r="AF266" s="110"/>
      <c r="AG266" s="110"/>
      <c r="AH266" s="153"/>
    </row>
    <row r="267" spans="1:34" s="70" customFormat="1" ht="15.75" x14ac:dyDescent="0.25">
      <c r="A267" s="267"/>
      <c r="B267" s="276"/>
      <c r="C267" s="160"/>
      <c r="D267" s="160"/>
      <c r="E267" s="160"/>
      <c r="F267" s="160"/>
      <c r="G267" s="160"/>
      <c r="H267" s="160"/>
      <c r="I267" s="160">
        <v>2</v>
      </c>
      <c r="J267" s="160"/>
      <c r="K267" s="160" t="s">
        <v>906</v>
      </c>
      <c r="L267" s="276"/>
      <c r="M267" s="277"/>
      <c r="N267" s="161">
        <v>2</v>
      </c>
      <c r="O267" s="162">
        <v>2</v>
      </c>
      <c r="P267" s="198"/>
      <c r="Q267" s="198"/>
      <c r="R267" s="199"/>
      <c r="S267" s="199"/>
      <c r="T267" s="199"/>
      <c r="U267" s="200"/>
      <c r="V267" s="199"/>
      <c r="W267" s="199"/>
      <c r="X267" s="199"/>
      <c r="Y267" s="201"/>
      <c r="Z267" s="202"/>
      <c r="AA267" s="203"/>
      <c r="AB267" s="198"/>
      <c r="AC267" s="268"/>
      <c r="AD267" s="164"/>
      <c r="AE267" s="165"/>
      <c r="AF267" s="110"/>
      <c r="AG267" s="110"/>
      <c r="AH267" s="153"/>
    </row>
    <row r="268" spans="1:34" s="70" customFormat="1" ht="15.75" x14ac:dyDescent="0.25">
      <c r="A268" s="267"/>
      <c r="B268" s="276"/>
      <c r="C268" s="160"/>
      <c r="D268" s="160"/>
      <c r="E268" s="160"/>
      <c r="F268" s="160"/>
      <c r="G268" s="160"/>
      <c r="H268" s="160"/>
      <c r="I268" s="160"/>
      <c r="J268" s="160"/>
      <c r="K268" s="322"/>
      <c r="L268" s="276"/>
      <c r="M268" s="277"/>
      <c r="N268" s="161"/>
      <c r="O268" s="162"/>
      <c r="P268" s="198"/>
      <c r="Q268" s="198"/>
      <c r="R268" s="199"/>
      <c r="S268" s="199"/>
      <c r="T268" s="199"/>
      <c r="U268" s="200"/>
      <c r="V268" s="199"/>
      <c r="W268" s="199"/>
      <c r="X268" s="199"/>
      <c r="Y268" s="201"/>
      <c r="Z268" s="202"/>
      <c r="AA268" s="203"/>
      <c r="AB268" s="198"/>
      <c r="AC268" s="268"/>
      <c r="AD268" s="164"/>
      <c r="AE268" s="165"/>
      <c r="AF268" s="110"/>
      <c r="AG268" s="110"/>
      <c r="AH268" s="153"/>
    </row>
    <row r="269" spans="1:34" s="70" customFormat="1" ht="15.75" x14ac:dyDescent="0.25">
      <c r="A269" s="267"/>
      <c r="B269" s="276"/>
      <c r="C269" s="160"/>
      <c r="D269" s="160"/>
      <c r="E269" s="160"/>
      <c r="F269" s="160"/>
      <c r="G269" s="160"/>
      <c r="H269" s="160"/>
      <c r="I269" s="160">
        <v>2</v>
      </c>
      <c r="J269" s="160"/>
      <c r="K269" s="160"/>
      <c r="L269" s="276"/>
      <c r="M269" s="277"/>
      <c r="N269" s="161">
        <v>2</v>
      </c>
      <c r="O269" s="162">
        <v>2</v>
      </c>
      <c r="P269" s="198"/>
      <c r="Q269" s="198"/>
      <c r="R269" s="199"/>
      <c r="S269" s="199"/>
      <c r="T269" s="199"/>
      <c r="U269" s="200"/>
      <c r="V269" s="199"/>
      <c r="W269" s="199"/>
      <c r="X269" s="199"/>
      <c r="Y269" s="201"/>
      <c r="Z269" s="202"/>
      <c r="AA269" s="203"/>
      <c r="AB269" s="198"/>
      <c r="AC269" s="268"/>
      <c r="AD269" s="164"/>
      <c r="AE269" s="165"/>
      <c r="AF269" s="110"/>
      <c r="AG269" s="110"/>
      <c r="AH269" s="153"/>
    </row>
    <row r="270" spans="1:34" s="70" customFormat="1" ht="15.75" x14ac:dyDescent="0.25">
      <c r="A270" s="267"/>
      <c r="B270" s="276"/>
      <c r="C270" s="160"/>
      <c r="D270" s="160"/>
      <c r="E270" s="160"/>
      <c r="F270" s="160"/>
      <c r="G270" s="160"/>
      <c r="H270" s="160"/>
      <c r="I270" s="160">
        <v>2</v>
      </c>
      <c r="J270" s="160"/>
      <c r="K270" s="160"/>
      <c r="L270" s="276"/>
      <c r="M270" s="277"/>
      <c r="N270" s="161">
        <v>2</v>
      </c>
      <c r="O270" s="162">
        <v>2</v>
      </c>
      <c r="P270" s="198"/>
      <c r="Q270" s="198"/>
      <c r="R270" s="199"/>
      <c r="S270" s="199"/>
      <c r="T270" s="199"/>
      <c r="U270" s="200"/>
      <c r="V270" s="199"/>
      <c r="W270" s="199"/>
      <c r="X270" s="199"/>
      <c r="Y270" s="201"/>
      <c r="Z270" s="202"/>
      <c r="AA270" s="203"/>
      <c r="AB270" s="198"/>
      <c r="AC270" s="268"/>
      <c r="AD270" s="164"/>
      <c r="AE270" s="165"/>
      <c r="AF270" s="110"/>
      <c r="AG270" s="110"/>
      <c r="AH270" s="153"/>
    </row>
    <row r="271" spans="1:34" s="70" customFormat="1" ht="15.75" x14ac:dyDescent="0.25">
      <c r="A271" s="267"/>
      <c r="B271" s="276"/>
      <c r="C271" s="160"/>
      <c r="D271" s="160"/>
      <c r="E271" s="160"/>
      <c r="F271" s="160"/>
      <c r="G271" s="160"/>
      <c r="H271" s="160"/>
      <c r="I271" s="160">
        <v>1</v>
      </c>
      <c r="J271" s="160"/>
      <c r="K271" s="160"/>
      <c r="L271" s="276"/>
      <c r="M271" s="277"/>
      <c r="N271" s="161">
        <v>1</v>
      </c>
      <c r="O271" s="162">
        <v>1</v>
      </c>
      <c r="P271" s="198"/>
      <c r="Q271" s="198"/>
      <c r="R271" s="199"/>
      <c r="S271" s="199"/>
      <c r="T271" s="199"/>
      <c r="U271" s="200"/>
      <c r="V271" s="199"/>
      <c r="W271" s="199"/>
      <c r="X271" s="199"/>
      <c r="Y271" s="201"/>
      <c r="Z271" s="202"/>
      <c r="AA271" s="203"/>
      <c r="AB271" s="198"/>
      <c r="AC271" s="268"/>
      <c r="AD271" s="164"/>
      <c r="AE271" s="165"/>
      <c r="AF271" s="110"/>
      <c r="AG271" s="110"/>
      <c r="AH271" s="153"/>
    </row>
    <row r="272" spans="1:34" s="70" customFormat="1" ht="15.75" x14ac:dyDescent="0.25">
      <c r="A272" s="267"/>
      <c r="B272" s="276"/>
      <c r="C272" s="160"/>
      <c r="D272" s="160"/>
      <c r="E272" s="160"/>
      <c r="F272" s="160"/>
      <c r="G272" s="160"/>
      <c r="H272" s="160"/>
      <c r="I272" s="160">
        <v>2</v>
      </c>
      <c r="J272" s="160"/>
      <c r="K272" s="160"/>
      <c r="L272" s="276"/>
      <c r="M272" s="277"/>
      <c r="N272" s="161">
        <v>2</v>
      </c>
      <c r="O272" s="162">
        <v>2</v>
      </c>
      <c r="P272" s="198"/>
      <c r="Q272" s="198"/>
      <c r="R272" s="199"/>
      <c r="S272" s="199"/>
      <c r="T272" s="199"/>
      <c r="U272" s="200"/>
      <c r="V272" s="199"/>
      <c r="W272" s="199"/>
      <c r="X272" s="199"/>
      <c r="Y272" s="201"/>
      <c r="Z272" s="202"/>
      <c r="AA272" s="203"/>
      <c r="AB272" s="198"/>
      <c r="AC272" s="268"/>
      <c r="AD272" s="164"/>
      <c r="AE272" s="165"/>
      <c r="AF272" s="110"/>
      <c r="AG272" s="110"/>
      <c r="AH272" s="153"/>
    </row>
    <row r="273" spans="1:34" s="70" customFormat="1" ht="15.75" x14ac:dyDescent="0.25">
      <c r="A273" s="267"/>
      <c r="B273" s="276"/>
      <c r="C273" s="160"/>
      <c r="D273" s="160"/>
      <c r="E273" s="160"/>
      <c r="F273" s="160"/>
      <c r="G273" s="160"/>
      <c r="H273" s="160"/>
      <c r="I273" s="160">
        <v>2</v>
      </c>
      <c r="J273" s="160"/>
      <c r="K273" s="160"/>
      <c r="L273" s="276"/>
      <c r="M273" s="277"/>
      <c r="N273" s="161">
        <v>2</v>
      </c>
      <c r="O273" s="162">
        <v>2</v>
      </c>
      <c r="P273" s="198"/>
      <c r="Q273" s="198"/>
      <c r="R273" s="199"/>
      <c r="S273" s="199"/>
      <c r="T273" s="199"/>
      <c r="U273" s="200"/>
      <c r="V273" s="199"/>
      <c r="W273" s="199"/>
      <c r="X273" s="199"/>
      <c r="Y273" s="201"/>
      <c r="Z273" s="202"/>
      <c r="AA273" s="203"/>
      <c r="AB273" s="198"/>
      <c r="AC273" s="268"/>
      <c r="AD273" s="164"/>
      <c r="AE273" s="165"/>
      <c r="AF273" s="110"/>
      <c r="AG273" s="110"/>
      <c r="AH273" s="153"/>
    </row>
    <row r="274" spans="1:34" s="70" customFormat="1" ht="15.75" x14ac:dyDescent="0.25">
      <c r="A274" s="267"/>
      <c r="B274" s="276"/>
      <c r="C274" s="160"/>
      <c r="D274" s="160"/>
      <c r="E274" s="160"/>
      <c r="F274" s="160"/>
      <c r="G274" s="160"/>
      <c r="H274" s="160"/>
      <c r="I274" s="160">
        <v>2</v>
      </c>
      <c r="J274" s="160"/>
      <c r="K274" s="160"/>
      <c r="L274" s="276"/>
      <c r="M274" s="277"/>
      <c r="N274" s="161">
        <v>2</v>
      </c>
      <c r="O274" s="162">
        <v>2</v>
      </c>
      <c r="P274" s="198"/>
      <c r="Q274" s="198"/>
      <c r="R274" s="199"/>
      <c r="S274" s="199"/>
      <c r="T274" s="199"/>
      <c r="U274" s="200"/>
      <c r="V274" s="199"/>
      <c r="W274" s="199"/>
      <c r="X274" s="199"/>
      <c r="Y274" s="201"/>
      <c r="Z274" s="202"/>
      <c r="AA274" s="203"/>
      <c r="AB274" s="198"/>
      <c r="AC274" s="268"/>
      <c r="AD274" s="164"/>
      <c r="AE274" s="165"/>
      <c r="AF274" s="110"/>
      <c r="AG274" s="110"/>
      <c r="AH274" s="153"/>
    </row>
    <row r="275" spans="1:34" s="70" customFormat="1" ht="15.75" x14ac:dyDescent="0.25">
      <c r="A275" s="267"/>
      <c r="B275" s="276"/>
      <c r="C275" s="160"/>
      <c r="D275" s="160"/>
      <c r="E275" s="160"/>
      <c r="F275" s="160"/>
      <c r="G275" s="160"/>
      <c r="H275" s="160"/>
      <c r="I275" s="160">
        <v>2</v>
      </c>
      <c r="J275" s="160"/>
      <c r="K275" s="160"/>
      <c r="L275" s="276"/>
      <c r="M275" s="277"/>
      <c r="N275" s="161">
        <v>2</v>
      </c>
      <c r="O275" s="162">
        <v>2</v>
      </c>
      <c r="P275" s="198"/>
      <c r="Q275" s="198"/>
      <c r="R275" s="199"/>
      <c r="S275" s="199"/>
      <c r="T275" s="199"/>
      <c r="U275" s="200"/>
      <c r="V275" s="199"/>
      <c r="W275" s="199"/>
      <c r="X275" s="199"/>
      <c r="Y275" s="201"/>
      <c r="Z275" s="202"/>
      <c r="AA275" s="203"/>
      <c r="AB275" s="198"/>
      <c r="AC275" s="268"/>
      <c r="AD275" s="164"/>
      <c r="AE275" s="165"/>
      <c r="AF275" s="110"/>
      <c r="AG275" s="110"/>
      <c r="AH275" s="153"/>
    </row>
    <row r="276" spans="1:34" s="70" customFormat="1" ht="15.75" x14ac:dyDescent="0.25">
      <c r="A276" s="267"/>
      <c r="B276" s="276"/>
      <c r="C276" s="160"/>
      <c r="D276" s="160"/>
      <c r="E276" s="160"/>
      <c r="F276" s="160"/>
      <c r="G276" s="160"/>
      <c r="H276" s="160"/>
      <c r="I276" s="160">
        <v>2</v>
      </c>
      <c r="J276" s="160"/>
      <c r="K276" s="160"/>
      <c r="L276" s="276"/>
      <c r="M276" s="277"/>
      <c r="N276" s="161">
        <v>2</v>
      </c>
      <c r="O276" s="162">
        <v>2</v>
      </c>
      <c r="P276" s="198"/>
      <c r="Q276" s="198"/>
      <c r="R276" s="199"/>
      <c r="S276" s="199"/>
      <c r="T276" s="199"/>
      <c r="U276" s="200"/>
      <c r="V276" s="199"/>
      <c r="W276" s="199"/>
      <c r="X276" s="199"/>
      <c r="Y276" s="201"/>
      <c r="Z276" s="202"/>
      <c r="AA276" s="203"/>
      <c r="AB276" s="198"/>
      <c r="AC276" s="268"/>
      <c r="AD276" s="164"/>
      <c r="AE276" s="165"/>
      <c r="AF276" s="110"/>
      <c r="AG276" s="110"/>
      <c r="AH276" s="153"/>
    </row>
    <row r="277" spans="1:34" s="70" customFormat="1" ht="15.75" x14ac:dyDescent="0.25">
      <c r="A277" s="267"/>
      <c r="B277" s="276"/>
      <c r="C277" s="160"/>
      <c r="D277" s="160"/>
      <c r="E277" s="160"/>
      <c r="F277" s="160"/>
      <c r="G277" s="160"/>
      <c r="H277" s="160"/>
      <c r="I277" s="160">
        <v>2</v>
      </c>
      <c r="J277" s="160"/>
      <c r="K277" s="160"/>
      <c r="L277" s="276"/>
      <c r="M277" s="277"/>
      <c r="N277" s="161">
        <v>2</v>
      </c>
      <c r="O277" s="162">
        <v>2</v>
      </c>
      <c r="P277" s="198"/>
      <c r="Q277" s="198"/>
      <c r="R277" s="199"/>
      <c r="S277" s="199"/>
      <c r="T277" s="199"/>
      <c r="U277" s="200"/>
      <c r="V277" s="199"/>
      <c r="W277" s="199"/>
      <c r="X277" s="199"/>
      <c r="Y277" s="201"/>
      <c r="Z277" s="202"/>
      <c r="AA277" s="203"/>
      <c r="AB277" s="198"/>
      <c r="AC277" s="268"/>
      <c r="AD277" s="164"/>
      <c r="AE277" s="165"/>
      <c r="AF277" s="110"/>
      <c r="AG277" s="110"/>
      <c r="AH277" s="153"/>
    </row>
    <row r="278" spans="1:34" s="70" customFormat="1" ht="15.75" x14ac:dyDescent="0.25">
      <c r="A278" s="267"/>
      <c r="B278" s="276"/>
      <c r="C278" s="160"/>
      <c r="D278" s="160"/>
      <c r="E278" s="160"/>
      <c r="F278" s="160"/>
      <c r="G278" s="160"/>
      <c r="H278" s="160"/>
      <c r="I278" s="160">
        <v>2</v>
      </c>
      <c r="J278" s="160"/>
      <c r="K278" s="160"/>
      <c r="L278" s="276"/>
      <c r="M278" s="277"/>
      <c r="N278" s="161">
        <v>2</v>
      </c>
      <c r="O278" s="162">
        <v>2</v>
      </c>
      <c r="P278" s="198"/>
      <c r="Q278" s="198"/>
      <c r="R278" s="199"/>
      <c r="S278" s="199"/>
      <c r="T278" s="199"/>
      <c r="U278" s="200"/>
      <c r="V278" s="199"/>
      <c r="W278" s="199"/>
      <c r="X278" s="199"/>
      <c r="Y278" s="201"/>
      <c r="Z278" s="202"/>
      <c r="AA278" s="203"/>
      <c r="AB278" s="198"/>
      <c r="AC278" s="268"/>
      <c r="AD278" s="164"/>
      <c r="AE278" s="165"/>
      <c r="AF278" s="110"/>
      <c r="AG278" s="110"/>
      <c r="AH278" s="153"/>
    </row>
    <row r="279" spans="1:34" s="70" customFormat="1" ht="15.75" x14ac:dyDescent="0.25">
      <c r="A279" s="267"/>
      <c r="B279" s="276"/>
      <c r="C279" s="160"/>
      <c r="D279" s="160"/>
      <c r="E279" s="160"/>
      <c r="F279" s="160"/>
      <c r="G279" s="160"/>
      <c r="H279" s="160"/>
      <c r="I279" s="160">
        <v>2</v>
      </c>
      <c r="J279" s="160"/>
      <c r="K279" s="160"/>
      <c r="L279" s="276"/>
      <c r="M279" s="277"/>
      <c r="N279" s="161">
        <v>2</v>
      </c>
      <c r="O279" s="162">
        <v>2</v>
      </c>
      <c r="P279" s="198"/>
      <c r="Q279" s="198"/>
      <c r="R279" s="199"/>
      <c r="S279" s="199"/>
      <c r="T279" s="199"/>
      <c r="U279" s="200"/>
      <c r="V279" s="199"/>
      <c r="W279" s="199"/>
      <c r="X279" s="199"/>
      <c r="Y279" s="201"/>
      <c r="Z279" s="202"/>
      <c r="AA279" s="203"/>
      <c r="AB279" s="198"/>
      <c r="AC279" s="268"/>
      <c r="AD279" s="164"/>
      <c r="AE279" s="165"/>
      <c r="AF279" s="110"/>
      <c r="AG279" s="110"/>
      <c r="AH279" s="153"/>
    </row>
    <row r="280" spans="1:34" s="70" customFormat="1" ht="15.75" x14ac:dyDescent="0.25">
      <c r="A280" s="267"/>
      <c r="B280" s="276"/>
      <c r="C280" s="160"/>
      <c r="D280" s="160"/>
      <c r="E280" s="160"/>
      <c r="F280" s="160"/>
      <c r="G280" s="160"/>
      <c r="H280" s="160"/>
      <c r="I280" s="160">
        <v>2</v>
      </c>
      <c r="J280" s="160"/>
      <c r="K280" s="160"/>
      <c r="L280" s="276"/>
      <c r="M280" s="277"/>
      <c r="N280" s="161">
        <v>2</v>
      </c>
      <c r="O280" s="162">
        <v>2</v>
      </c>
      <c r="P280" s="198"/>
      <c r="Q280" s="198"/>
      <c r="R280" s="199"/>
      <c r="S280" s="199"/>
      <c r="T280" s="199"/>
      <c r="U280" s="200"/>
      <c r="V280" s="199"/>
      <c r="W280" s="199"/>
      <c r="X280" s="199"/>
      <c r="Y280" s="201"/>
      <c r="Z280" s="202"/>
      <c r="AA280" s="203"/>
      <c r="AB280" s="198"/>
      <c r="AC280" s="268"/>
      <c r="AD280" s="164"/>
      <c r="AE280" s="165"/>
      <c r="AF280" s="110"/>
      <c r="AG280" s="110"/>
      <c r="AH280" s="153"/>
    </row>
    <row r="281" spans="1:34" s="70" customFormat="1" ht="15.75" x14ac:dyDescent="0.25">
      <c r="A281" s="267"/>
      <c r="B281" s="276"/>
      <c r="C281" s="160"/>
      <c r="D281" s="160"/>
      <c r="E281" s="160"/>
      <c r="F281" s="160"/>
      <c r="G281" s="160"/>
      <c r="H281" s="160"/>
      <c r="I281" s="160">
        <v>2</v>
      </c>
      <c r="J281" s="160"/>
      <c r="K281" s="160"/>
      <c r="L281" s="276"/>
      <c r="M281" s="277"/>
      <c r="N281" s="161">
        <v>2</v>
      </c>
      <c r="O281" s="162">
        <v>2</v>
      </c>
      <c r="P281" s="198"/>
      <c r="Q281" s="198"/>
      <c r="R281" s="199"/>
      <c r="S281" s="199"/>
      <c r="T281" s="199"/>
      <c r="U281" s="200"/>
      <c r="V281" s="199"/>
      <c r="W281" s="199"/>
      <c r="X281" s="199"/>
      <c r="Y281" s="201"/>
      <c r="Z281" s="202"/>
      <c r="AA281" s="203"/>
      <c r="AB281" s="198"/>
      <c r="AC281" s="268"/>
      <c r="AD281" s="164"/>
      <c r="AE281" s="165"/>
      <c r="AF281" s="110"/>
      <c r="AG281" s="110"/>
      <c r="AH281" s="153"/>
    </row>
    <row r="282" spans="1:34" s="70" customFormat="1" ht="15.75" x14ac:dyDescent="0.25">
      <c r="A282" s="267"/>
      <c r="B282" s="276"/>
      <c r="C282" s="160"/>
      <c r="D282" s="160"/>
      <c r="E282" s="160"/>
      <c r="F282" s="160"/>
      <c r="G282" s="160"/>
      <c r="H282" s="160"/>
      <c r="I282" s="160">
        <v>1</v>
      </c>
      <c r="J282" s="160"/>
      <c r="K282" s="160"/>
      <c r="L282" s="276"/>
      <c r="M282" s="277"/>
      <c r="N282" s="161">
        <v>1</v>
      </c>
      <c r="O282" s="162">
        <v>1</v>
      </c>
      <c r="P282" s="198"/>
      <c r="Q282" s="198"/>
      <c r="R282" s="199"/>
      <c r="S282" s="199"/>
      <c r="T282" s="199"/>
      <c r="U282" s="200"/>
      <c r="V282" s="199"/>
      <c r="W282" s="199"/>
      <c r="X282" s="199"/>
      <c r="Y282" s="201"/>
      <c r="Z282" s="202"/>
      <c r="AA282" s="203"/>
      <c r="AB282" s="198"/>
      <c r="AC282" s="268"/>
      <c r="AD282" s="164"/>
      <c r="AE282" s="165"/>
      <c r="AF282" s="110"/>
      <c r="AG282" s="110"/>
      <c r="AH282" s="153"/>
    </row>
    <row r="283" spans="1:34" s="70" customFormat="1" ht="15.75" x14ac:dyDescent="0.25">
      <c r="A283" s="267"/>
      <c r="B283" s="276"/>
      <c r="C283" s="160"/>
      <c r="D283" s="160"/>
      <c r="E283" s="160"/>
      <c r="F283" s="160"/>
      <c r="G283" s="160"/>
      <c r="H283" s="160"/>
      <c r="I283" s="160">
        <v>1</v>
      </c>
      <c r="J283" s="160"/>
      <c r="K283" s="160"/>
      <c r="L283" s="276"/>
      <c r="M283" s="277"/>
      <c r="N283" s="161">
        <v>1</v>
      </c>
      <c r="O283" s="162">
        <v>1</v>
      </c>
      <c r="P283" s="198"/>
      <c r="Q283" s="198"/>
      <c r="R283" s="199"/>
      <c r="S283" s="199"/>
      <c r="T283" s="199"/>
      <c r="U283" s="200"/>
      <c r="V283" s="199"/>
      <c r="W283" s="199"/>
      <c r="X283" s="199"/>
      <c r="Y283" s="201"/>
      <c r="Z283" s="202"/>
      <c r="AA283" s="203"/>
      <c r="AB283" s="198"/>
      <c r="AC283" s="268"/>
      <c r="AD283" s="164"/>
      <c r="AE283" s="165"/>
      <c r="AF283" s="110"/>
      <c r="AG283" s="110"/>
      <c r="AH283" s="153"/>
    </row>
    <row r="284" spans="1:34" s="70" customFormat="1" ht="15.75" x14ac:dyDescent="0.25">
      <c r="A284" s="267"/>
      <c r="B284" s="276"/>
      <c r="C284" s="160"/>
      <c r="D284" s="160"/>
      <c r="E284" s="160"/>
      <c r="F284" s="160"/>
      <c r="G284" s="160"/>
      <c r="H284" s="160"/>
      <c r="I284" s="160">
        <v>1</v>
      </c>
      <c r="J284" s="160"/>
      <c r="K284" s="160"/>
      <c r="L284" s="276"/>
      <c r="M284" s="277"/>
      <c r="N284" s="161">
        <v>1</v>
      </c>
      <c r="O284" s="162">
        <v>1</v>
      </c>
      <c r="P284" s="198"/>
      <c r="Q284" s="198"/>
      <c r="R284" s="199"/>
      <c r="S284" s="199"/>
      <c r="T284" s="199"/>
      <c r="U284" s="200"/>
      <c r="V284" s="199"/>
      <c r="W284" s="199"/>
      <c r="X284" s="199"/>
      <c r="Y284" s="201"/>
      <c r="Z284" s="202"/>
      <c r="AA284" s="203"/>
      <c r="AB284" s="198"/>
      <c r="AC284" s="268"/>
      <c r="AD284" s="164"/>
      <c r="AE284" s="165"/>
      <c r="AF284" s="110"/>
      <c r="AG284" s="110"/>
      <c r="AH284" s="153"/>
    </row>
    <row r="285" spans="1:34" s="70" customFormat="1" ht="15.75" x14ac:dyDescent="0.25">
      <c r="A285" s="267"/>
      <c r="B285" s="276"/>
      <c r="C285" s="160"/>
      <c r="D285" s="160"/>
      <c r="E285" s="160"/>
      <c r="F285" s="160"/>
      <c r="G285" s="160"/>
      <c r="H285" s="160"/>
      <c r="I285" s="160">
        <v>1</v>
      </c>
      <c r="J285" s="160"/>
      <c r="K285" s="160"/>
      <c r="L285" s="276"/>
      <c r="M285" s="277"/>
      <c r="N285" s="161">
        <v>1</v>
      </c>
      <c r="O285" s="162">
        <v>1</v>
      </c>
      <c r="P285" s="198"/>
      <c r="Q285" s="198"/>
      <c r="R285" s="199"/>
      <c r="S285" s="199"/>
      <c r="T285" s="199"/>
      <c r="U285" s="200"/>
      <c r="V285" s="199"/>
      <c r="W285" s="199"/>
      <c r="X285" s="199"/>
      <c r="Y285" s="201"/>
      <c r="Z285" s="202"/>
      <c r="AA285" s="203"/>
      <c r="AB285" s="198"/>
      <c r="AC285" s="268"/>
      <c r="AD285" s="164"/>
      <c r="AE285" s="165"/>
      <c r="AF285" s="110"/>
      <c r="AG285" s="110"/>
      <c r="AH285" s="153"/>
    </row>
    <row r="286" spans="1:34" s="70" customFormat="1" ht="15.75" x14ac:dyDescent="0.25">
      <c r="A286" s="267"/>
      <c r="B286" s="276"/>
      <c r="C286" s="160"/>
      <c r="D286" s="160"/>
      <c r="E286" s="160"/>
      <c r="F286" s="160"/>
      <c r="G286" s="160"/>
      <c r="H286" s="160"/>
      <c r="I286" s="160">
        <v>1</v>
      </c>
      <c r="J286" s="160"/>
      <c r="K286" s="160"/>
      <c r="L286" s="276"/>
      <c r="M286" s="277"/>
      <c r="N286" s="161">
        <v>1</v>
      </c>
      <c r="O286" s="162">
        <v>1</v>
      </c>
      <c r="P286" s="198"/>
      <c r="Q286" s="198"/>
      <c r="R286" s="199"/>
      <c r="S286" s="199"/>
      <c r="T286" s="199"/>
      <c r="U286" s="200"/>
      <c r="V286" s="199"/>
      <c r="W286" s="199"/>
      <c r="X286" s="199"/>
      <c r="Y286" s="201"/>
      <c r="Z286" s="202"/>
      <c r="AA286" s="203"/>
      <c r="AB286" s="198"/>
      <c r="AC286" s="268"/>
      <c r="AD286" s="164"/>
      <c r="AE286" s="165"/>
      <c r="AF286" s="110"/>
      <c r="AG286" s="110"/>
      <c r="AH286" s="153"/>
    </row>
    <row r="287" spans="1:34" s="70" customFormat="1" ht="15.75" x14ac:dyDescent="0.25">
      <c r="A287" s="267"/>
      <c r="B287" s="276"/>
      <c r="C287" s="160"/>
      <c r="D287" s="160"/>
      <c r="E287" s="160"/>
      <c r="F287" s="160"/>
      <c r="G287" s="160"/>
      <c r="H287" s="160"/>
      <c r="I287" s="160">
        <v>1</v>
      </c>
      <c r="J287" s="160"/>
      <c r="K287" s="160"/>
      <c r="L287" s="276"/>
      <c r="M287" s="277"/>
      <c r="N287" s="161">
        <v>1</v>
      </c>
      <c r="O287" s="162">
        <v>1</v>
      </c>
      <c r="P287" s="198"/>
      <c r="Q287" s="198"/>
      <c r="R287" s="199"/>
      <c r="S287" s="199"/>
      <c r="T287" s="199"/>
      <c r="U287" s="200"/>
      <c r="V287" s="199"/>
      <c r="W287" s="199"/>
      <c r="X287" s="199"/>
      <c r="Y287" s="201"/>
      <c r="Z287" s="202"/>
      <c r="AA287" s="203"/>
      <c r="AB287" s="198"/>
      <c r="AC287" s="268"/>
      <c r="AD287" s="164"/>
      <c r="AE287" s="165"/>
      <c r="AF287" s="110"/>
      <c r="AG287" s="110"/>
      <c r="AH287" s="153"/>
    </row>
    <row r="288" spans="1:34" s="70" customFormat="1" ht="15.75" x14ac:dyDescent="0.25">
      <c r="A288" s="267"/>
      <c r="B288" s="276"/>
      <c r="C288" s="160"/>
      <c r="D288" s="160"/>
      <c r="E288" s="160"/>
      <c r="F288" s="160"/>
      <c r="G288" s="160"/>
      <c r="H288" s="160"/>
      <c r="I288" s="160">
        <v>1</v>
      </c>
      <c r="J288" s="160"/>
      <c r="K288" s="160"/>
      <c r="L288" s="276"/>
      <c r="M288" s="277"/>
      <c r="N288" s="161">
        <v>1</v>
      </c>
      <c r="O288" s="162">
        <v>1</v>
      </c>
      <c r="P288" s="198"/>
      <c r="Q288" s="198"/>
      <c r="R288" s="199"/>
      <c r="S288" s="199"/>
      <c r="T288" s="199"/>
      <c r="U288" s="200"/>
      <c r="V288" s="199"/>
      <c r="W288" s="199"/>
      <c r="X288" s="199"/>
      <c r="Y288" s="201"/>
      <c r="Z288" s="202"/>
      <c r="AA288" s="203"/>
      <c r="AB288" s="198"/>
      <c r="AC288" s="268"/>
      <c r="AD288" s="164"/>
      <c r="AE288" s="165"/>
      <c r="AF288" s="110"/>
      <c r="AG288" s="110"/>
      <c r="AH288" s="153"/>
    </row>
    <row r="289" spans="1:34" s="70" customFormat="1" ht="15.75" x14ac:dyDescent="0.25">
      <c r="A289" s="267"/>
      <c r="B289" s="276"/>
      <c r="C289" s="160"/>
      <c r="D289" s="160"/>
      <c r="E289" s="160"/>
      <c r="F289" s="160"/>
      <c r="G289" s="160"/>
      <c r="H289" s="160"/>
      <c r="I289" s="160">
        <v>1</v>
      </c>
      <c r="J289" s="160"/>
      <c r="K289" s="160"/>
      <c r="L289" s="276"/>
      <c r="M289" s="277"/>
      <c r="N289" s="161">
        <v>1</v>
      </c>
      <c r="O289" s="162">
        <v>1</v>
      </c>
      <c r="P289" s="198"/>
      <c r="Q289" s="198"/>
      <c r="R289" s="199"/>
      <c r="S289" s="199"/>
      <c r="T289" s="199"/>
      <c r="U289" s="200"/>
      <c r="V289" s="199"/>
      <c r="W289" s="199"/>
      <c r="X289" s="199"/>
      <c r="Y289" s="201"/>
      <c r="Z289" s="202"/>
      <c r="AA289" s="203"/>
      <c r="AB289" s="198"/>
      <c r="AC289" s="268"/>
      <c r="AD289" s="164"/>
      <c r="AE289" s="165"/>
      <c r="AF289" s="110"/>
      <c r="AG289" s="110"/>
      <c r="AH289" s="153"/>
    </row>
    <row r="290" spans="1:34" s="70" customFormat="1" ht="15.75" x14ac:dyDescent="0.25">
      <c r="A290" s="267"/>
      <c r="B290" s="276"/>
      <c r="C290" s="160"/>
      <c r="D290" s="160"/>
      <c r="E290" s="160"/>
      <c r="F290" s="160"/>
      <c r="G290" s="160"/>
      <c r="H290" s="160"/>
      <c r="I290" s="160">
        <v>2</v>
      </c>
      <c r="J290" s="160"/>
      <c r="K290" s="160"/>
      <c r="L290" s="276"/>
      <c r="M290" s="277"/>
      <c r="N290" s="161">
        <v>2</v>
      </c>
      <c r="O290" s="162">
        <v>2</v>
      </c>
      <c r="P290" s="198"/>
      <c r="Q290" s="198"/>
      <c r="R290" s="199"/>
      <c r="S290" s="199"/>
      <c r="T290" s="199"/>
      <c r="U290" s="200"/>
      <c r="V290" s="199"/>
      <c r="W290" s="199"/>
      <c r="X290" s="199"/>
      <c r="Y290" s="201"/>
      <c r="Z290" s="202"/>
      <c r="AA290" s="203"/>
      <c r="AB290" s="198"/>
      <c r="AC290" s="268"/>
      <c r="AD290" s="164"/>
      <c r="AE290" s="165"/>
      <c r="AF290" s="110"/>
      <c r="AG290" s="110"/>
      <c r="AH290" s="153"/>
    </row>
    <row r="291" spans="1:34" s="70" customFormat="1" ht="15.75" x14ac:dyDescent="0.25">
      <c r="A291" s="267"/>
      <c r="B291" s="276"/>
      <c r="C291" s="160"/>
      <c r="D291" s="160"/>
      <c r="E291" s="160"/>
      <c r="F291" s="160"/>
      <c r="G291" s="160"/>
      <c r="H291" s="160"/>
      <c r="I291" s="160">
        <v>2</v>
      </c>
      <c r="J291" s="160"/>
      <c r="K291" s="160"/>
      <c r="L291" s="276"/>
      <c r="M291" s="277"/>
      <c r="N291" s="161">
        <v>2</v>
      </c>
      <c r="O291" s="162">
        <v>2</v>
      </c>
      <c r="P291" s="198"/>
      <c r="Q291" s="198"/>
      <c r="R291" s="199"/>
      <c r="S291" s="199"/>
      <c r="T291" s="199"/>
      <c r="U291" s="200"/>
      <c r="V291" s="199"/>
      <c r="W291" s="199"/>
      <c r="X291" s="199"/>
      <c r="Y291" s="201"/>
      <c r="Z291" s="202"/>
      <c r="AA291" s="203"/>
      <c r="AB291" s="198"/>
      <c r="AC291" s="268"/>
      <c r="AD291" s="164"/>
      <c r="AE291" s="165"/>
      <c r="AF291" s="110"/>
      <c r="AG291" s="110"/>
      <c r="AH291" s="153"/>
    </row>
    <row r="292" spans="1:34" s="70" customFormat="1" ht="15.75" x14ac:dyDescent="0.25">
      <c r="A292" s="267"/>
      <c r="B292" s="276"/>
      <c r="C292" s="160"/>
      <c r="D292" s="160"/>
      <c r="E292" s="160"/>
      <c r="F292" s="160"/>
      <c r="G292" s="160"/>
      <c r="H292" s="160"/>
      <c r="I292" s="160">
        <v>2</v>
      </c>
      <c r="J292" s="160"/>
      <c r="K292" s="160"/>
      <c r="L292" s="276"/>
      <c r="M292" s="277"/>
      <c r="N292" s="161">
        <v>2</v>
      </c>
      <c r="O292" s="162">
        <v>2</v>
      </c>
      <c r="P292" s="198"/>
      <c r="Q292" s="198"/>
      <c r="R292" s="199"/>
      <c r="S292" s="199"/>
      <c r="T292" s="199"/>
      <c r="U292" s="200"/>
      <c r="V292" s="199"/>
      <c r="W292" s="199"/>
      <c r="X292" s="199"/>
      <c r="Y292" s="201"/>
      <c r="Z292" s="202"/>
      <c r="AA292" s="203"/>
      <c r="AB292" s="198"/>
      <c r="AC292" s="268"/>
      <c r="AD292" s="164"/>
      <c r="AE292" s="165"/>
      <c r="AF292" s="110"/>
      <c r="AG292" s="110"/>
      <c r="AH292" s="153"/>
    </row>
    <row r="293" spans="1:34" s="70" customFormat="1" ht="15.75" x14ac:dyDescent="0.25">
      <c r="A293" s="267"/>
      <c r="B293" s="276"/>
      <c r="C293" s="160"/>
      <c r="D293" s="160"/>
      <c r="E293" s="160"/>
      <c r="F293" s="160"/>
      <c r="G293" s="160"/>
      <c r="H293" s="160"/>
      <c r="I293" s="160">
        <v>2</v>
      </c>
      <c r="J293" s="160"/>
      <c r="K293" s="160"/>
      <c r="L293" s="276"/>
      <c r="M293" s="277"/>
      <c r="N293" s="161">
        <v>2</v>
      </c>
      <c r="O293" s="162">
        <v>2</v>
      </c>
      <c r="P293" s="198"/>
      <c r="Q293" s="198"/>
      <c r="R293" s="199"/>
      <c r="S293" s="199"/>
      <c r="T293" s="199"/>
      <c r="U293" s="200"/>
      <c r="V293" s="199"/>
      <c r="W293" s="199"/>
      <c r="X293" s="199"/>
      <c r="Y293" s="201"/>
      <c r="Z293" s="202"/>
      <c r="AA293" s="203"/>
      <c r="AB293" s="198"/>
      <c r="AC293" s="268"/>
      <c r="AD293" s="164"/>
      <c r="AE293" s="165"/>
      <c r="AF293" s="110"/>
      <c r="AG293" s="110"/>
      <c r="AH293" s="153"/>
    </row>
    <row r="294" spans="1:34" s="70" customFormat="1" ht="15.75" x14ac:dyDescent="0.25">
      <c r="A294" s="267"/>
      <c r="B294" s="276"/>
      <c r="C294" s="160"/>
      <c r="D294" s="160"/>
      <c r="E294" s="160"/>
      <c r="F294" s="160"/>
      <c r="G294" s="160"/>
      <c r="H294" s="160"/>
      <c r="I294" s="160">
        <v>2</v>
      </c>
      <c r="J294" s="160"/>
      <c r="K294" s="160"/>
      <c r="L294" s="276"/>
      <c r="M294" s="277"/>
      <c r="N294" s="161">
        <v>2</v>
      </c>
      <c r="O294" s="162">
        <v>2</v>
      </c>
      <c r="P294" s="198"/>
      <c r="Q294" s="198"/>
      <c r="R294" s="199"/>
      <c r="S294" s="199"/>
      <c r="T294" s="199"/>
      <c r="U294" s="200"/>
      <c r="V294" s="199"/>
      <c r="W294" s="199"/>
      <c r="X294" s="199"/>
      <c r="Y294" s="201"/>
      <c r="Z294" s="202"/>
      <c r="AA294" s="203"/>
      <c r="AB294" s="198"/>
      <c r="AC294" s="268"/>
      <c r="AD294" s="164"/>
      <c r="AE294" s="165"/>
      <c r="AF294" s="110"/>
      <c r="AG294" s="110"/>
      <c r="AH294" s="153"/>
    </row>
    <row r="295" spans="1:34" s="70" customFormat="1" ht="15.75" x14ac:dyDescent="0.25">
      <c r="A295" s="267"/>
      <c r="B295" s="276"/>
      <c r="C295" s="160"/>
      <c r="D295" s="160"/>
      <c r="E295" s="160"/>
      <c r="F295" s="160"/>
      <c r="G295" s="160"/>
      <c r="H295" s="160"/>
      <c r="I295" s="160">
        <v>2</v>
      </c>
      <c r="J295" s="160"/>
      <c r="K295" s="160"/>
      <c r="L295" s="276"/>
      <c r="M295" s="277"/>
      <c r="N295" s="161">
        <v>2</v>
      </c>
      <c r="O295" s="162">
        <v>2</v>
      </c>
      <c r="P295" s="198"/>
      <c r="Q295" s="198"/>
      <c r="R295" s="199"/>
      <c r="S295" s="199"/>
      <c r="T295" s="199"/>
      <c r="U295" s="200"/>
      <c r="V295" s="199"/>
      <c r="W295" s="199"/>
      <c r="X295" s="199"/>
      <c r="Y295" s="201"/>
      <c r="Z295" s="202"/>
      <c r="AA295" s="203"/>
      <c r="AB295" s="198"/>
      <c r="AC295" s="268"/>
      <c r="AD295" s="164"/>
      <c r="AE295" s="165"/>
      <c r="AF295" s="110"/>
      <c r="AG295" s="110"/>
      <c r="AH295" s="153"/>
    </row>
    <row r="296" spans="1:34" s="70" customFormat="1" ht="15.75" x14ac:dyDescent="0.25">
      <c r="A296" s="267"/>
      <c r="B296" s="276"/>
      <c r="C296" s="160"/>
      <c r="D296" s="160"/>
      <c r="E296" s="160"/>
      <c r="F296" s="160"/>
      <c r="G296" s="160"/>
      <c r="H296" s="160"/>
      <c r="I296" s="160">
        <v>2</v>
      </c>
      <c r="J296" s="160"/>
      <c r="K296" s="160"/>
      <c r="L296" s="276"/>
      <c r="M296" s="277"/>
      <c r="N296" s="161">
        <v>2</v>
      </c>
      <c r="O296" s="162">
        <v>2</v>
      </c>
      <c r="P296" s="198"/>
      <c r="Q296" s="198"/>
      <c r="R296" s="199"/>
      <c r="S296" s="199"/>
      <c r="T296" s="199"/>
      <c r="U296" s="200"/>
      <c r="V296" s="199"/>
      <c r="W296" s="199"/>
      <c r="X296" s="199"/>
      <c r="Y296" s="201"/>
      <c r="Z296" s="202"/>
      <c r="AA296" s="203"/>
      <c r="AB296" s="198"/>
      <c r="AC296" s="268"/>
      <c r="AD296" s="164"/>
      <c r="AE296" s="165"/>
      <c r="AF296" s="110"/>
      <c r="AG296" s="110"/>
      <c r="AH296" s="153"/>
    </row>
    <row r="297" spans="1:34" s="70" customFormat="1" ht="15.75" x14ac:dyDescent="0.25">
      <c r="A297" s="267"/>
      <c r="B297" s="276"/>
      <c r="C297" s="160"/>
      <c r="D297" s="160"/>
      <c r="E297" s="160"/>
      <c r="F297" s="160"/>
      <c r="G297" s="160"/>
      <c r="H297" s="160"/>
      <c r="I297" s="160"/>
      <c r="J297" s="160"/>
      <c r="K297" s="160"/>
      <c r="L297" s="276"/>
      <c r="M297" s="277"/>
      <c r="N297" s="161">
        <v>0</v>
      </c>
      <c r="O297" s="162">
        <v>0</v>
      </c>
      <c r="P297" s="198">
        <v>0</v>
      </c>
      <c r="Q297" s="198">
        <v>0</v>
      </c>
      <c r="R297" s="199">
        <v>0</v>
      </c>
      <c r="S297" s="199">
        <v>0</v>
      </c>
      <c r="T297" s="199">
        <v>0</v>
      </c>
      <c r="U297" s="200">
        <v>0</v>
      </c>
      <c r="V297" s="199">
        <v>0</v>
      </c>
      <c r="W297" s="199">
        <v>0</v>
      </c>
      <c r="X297" s="199">
        <v>0</v>
      </c>
      <c r="Y297" s="201">
        <v>0</v>
      </c>
      <c r="Z297" s="202">
        <v>0</v>
      </c>
      <c r="AA297" s="203">
        <v>0</v>
      </c>
      <c r="AB297" s="198">
        <v>0</v>
      </c>
      <c r="AC297" s="268"/>
      <c r="AD297" s="164"/>
      <c r="AE297" s="165"/>
      <c r="AF297" s="110"/>
      <c r="AG297" s="110"/>
      <c r="AH297" s="153"/>
    </row>
    <row r="298" spans="1:34" s="70" customFormat="1" ht="15.75" x14ac:dyDescent="0.25">
      <c r="A298" s="267"/>
      <c r="B298" s="276"/>
      <c r="C298" s="160"/>
      <c r="D298" s="160"/>
      <c r="E298" s="160"/>
      <c r="F298" s="160"/>
      <c r="G298" s="160"/>
      <c r="H298" s="160"/>
      <c r="I298" s="160"/>
      <c r="J298" s="160"/>
      <c r="K298" s="160"/>
      <c r="L298" s="276"/>
      <c r="M298" s="277"/>
      <c r="N298" s="161">
        <v>0</v>
      </c>
      <c r="O298" s="162">
        <v>0</v>
      </c>
      <c r="P298" s="198">
        <v>0</v>
      </c>
      <c r="Q298" s="198">
        <v>0</v>
      </c>
      <c r="R298" s="199">
        <v>0</v>
      </c>
      <c r="S298" s="199">
        <v>0</v>
      </c>
      <c r="T298" s="199">
        <v>0</v>
      </c>
      <c r="U298" s="200">
        <v>0</v>
      </c>
      <c r="V298" s="199">
        <v>0</v>
      </c>
      <c r="W298" s="199">
        <v>0</v>
      </c>
      <c r="X298" s="199">
        <v>0</v>
      </c>
      <c r="Y298" s="201">
        <v>0</v>
      </c>
      <c r="Z298" s="202">
        <v>0</v>
      </c>
      <c r="AA298" s="203">
        <v>0</v>
      </c>
      <c r="AB298" s="198">
        <v>0</v>
      </c>
      <c r="AC298" s="268"/>
      <c r="AD298" s="164"/>
      <c r="AE298" s="165"/>
      <c r="AF298" s="110"/>
      <c r="AG298" s="110" t="s">
        <v>99</v>
      </c>
      <c r="AH298" s="153"/>
    </row>
    <row r="299" spans="1:34" ht="21" x14ac:dyDescent="0.25">
      <c r="A299" s="171"/>
      <c r="B299" s="171"/>
      <c r="C299" s="171">
        <f t="shared" ref="C299:J299" si="0">SUM(C4:C298)</f>
        <v>36</v>
      </c>
      <c r="D299" s="171">
        <f t="shared" si="0"/>
        <v>11</v>
      </c>
      <c r="E299" s="171">
        <f t="shared" si="0"/>
        <v>11</v>
      </c>
      <c r="F299" s="171">
        <f t="shared" si="0"/>
        <v>307</v>
      </c>
      <c r="G299" s="171">
        <f t="shared" si="0"/>
        <v>7</v>
      </c>
      <c r="H299" s="171">
        <f t="shared" si="0"/>
        <v>5</v>
      </c>
      <c r="I299" s="171">
        <f t="shared" si="0"/>
        <v>210</v>
      </c>
      <c r="J299" s="171">
        <f t="shared" si="0"/>
        <v>16</v>
      </c>
      <c r="K299" s="171"/>
      <c r="L299" s="171"/>
      <c r="M299" s="163"/>
      <c r="N299" s="171">
        <f t="shared" ref="N299:AB299" si="1">SUM(N4:N298)</f>
        <v>588</v>
      </c>
      <c r="O299" s="172">
        <f t="shared" si="1"/>
        <v>578</v>
      </c>
      <c r="P299" s="173">
        <f t="shared" si="1"/>
        <v>10</v>
      </c>
      <c r="Q299" s="172">
        <f t="shared" si="1"/>
        <v>0</v>
      </c>
      <c r="R299" s="172">
        <f t="shared" si="1"/>
        <v>10</v>
      </c>
      <c r="S299" s="172">
        <f t="shared" si="1"/>
        <v>0</v>
      </c>
      <c r="T299" s="172">
        <f t="shared" si="1"/>
        <v>0</v>
      </c>
      <c r="U299" s="172">
        <f t="shared" si="1"/>
        <v>0</v>
      </c>
      <c r="V299" s="172">
        <f t="shared" si="1"/>
        <v>0</v>
      </c>
      <c r="W299" s="172">
        <f t="shared" si="1"/>
        <v>0</v>
      </c>
      <c r="X299" s="172">
        <f t="shared" si="1"/>
        <v>0</v>
      </c>
      <c r="Y299" s="173">
        <f t="shared" si="1"/>
        <v>0</v>
      </c>
      <c r="Z299" s="172">
        <f t="shared" si="1"/>
        <v>6</v>
      </c>
      <c r="AA299" s="172">
        <f t="shared" si="1"/>
        <v>0</v>
      </c>
      <c r="AB299" s="173">
        <f t="shared" si="1"/>
        <v>4</v>
      </c>
      <c r="AC299" s="273"/>
      <c r="AD299" s="164"/>
      <c r="AE299" s="165"/>
      <c r="AG299" s="110" t="s">
        <v>99</v>
      </c>
    </row>
    <row r="300" spans="1:34" s="107" customFormat="1" ht="44.25" customHeight="1" x14ac:dyDescent="0.25">
      <c r="A300" s="101" t="s">
        <v>0</v>
      </c>
      <c r="B300" s="102" t="s">
        <v>73</v>
      </c>
      <c r="C300" s="103" t="s">
        <v>74</v>
      </c>
      <c r="D300" s="103" t="s">
        <v>80</v>
      </c>
      <c r="E300" s="103" t="s">
        <v>81</v>
      </c>
      <c r="F300" s="103" t="s">
        <v>75</v>
      </c>
      <c r="G300" s="103" t="s">
        <v>82</v>
      </c>
      <c r="H300" s="103" t="s">
        <v>83</v>
      </c>
      <c r="I300" s="104" t="s">
        <v>55</v>
      </c>
      <c r="J300" s="104" t="s">
        <v>86</v>
      </c>
      <c r="K300" s="101" t="s">
        <v>1</v>
      </c>
      <c r="L300" s="102" t="s">
        <v>2</v>
      </c>
      <c r="M300" s="146" t="s">
        <v>17</v>
      </c>
      <c r="N300" s="105" t="s">
        <v>27</v>
      </c>
      <c r="O300" s="106" t="s">
        <v>3</v>
      </c>
      <c r="P300" s="117" t="s">
        <v>4</v>
      </c>
      <c r="Q300" s="117"/>
      <c r="R300" s="118" t="s">
        <v>5</v>
      </c>
      <c r="S300" s="118" t="s">
        <v>6</v>
      </c>
      <c r="T300" s="118" t="s">
        <v>7</v>
      </c>
      <c r="U300" s="119" t="s">
        <v>8</v>
      </c>
      <c r="V300" s="118" t="s">
        <v>51</v>
      </c>
      <c r="W300" s="118" t="s">
        <v>9</v>
      </c>
      <c r="X300" s="118" t="s">
        <v>10</v>
      </c>
      <c r="Y300" s="117" t="s">
        <v>71</v>
      </c>
      <c r="Z300" s="120" t="s">
        <v>11</v>
      </c>
      <c r="AA300" s="121" t="s">
        <v>69</v>
      </c>
      <c r="AB300" s="117" t="s">
        <v>70</v>
      </c>
      <c r="AC300" s="274"/>
      <c r="AD300" s="101" t="s">
        <v>15</v>
      </c>
      <c r="AE300" s="101" t="s">
        <v>16</v>
      </c>
      <c r="AF300" s="101" t="s">
        <v>12</v>
      </c>
      <c r="AG300" s="105"/>
      <c r="AH300" s="157" t="s">
        <v>14</v>
      </c>
    </row>
    <row r="301" spans="1:34" x14ac:dyDescent="0.25">
      <c r="AG301" s="16" t="s">
        <v>99</v>
      </c>
    </row>
    <row r="302" spans="1:34" x14ac:dyDescent="0.25">
      <c r="AG302" s="16" t="s">
        <v>99</v>
      </c>
    </row>
    <row r="303" spans="1:34" x14ac:dyDescent="0.25">
      <c r="AG303" s="16" t="s">
        <v>99</v>
      </c>
    </row>
    <row r="304" spans="1:34" x14ac:dyDescent="0.25">
      <c r="AG304" s="16" t="s">
        <v>99</v>
      </c>
    </row>
    <row r="305" spans="33:33" x14ac:dyDescent="0.25">
      <c r="AG305" s="16" t="s">
        <v>99</v>
      </c>
    </row>
  </sheetData>
  <sheetProtection selectLockedCells="1" selectUnlockedCells="1"/>
  <autoFilter ref="A3:AI305" xr:uid="{00000000-0009-0000-0000-000001000000}">
    <sortState xmlns:xlrd2="http://schemas.microsoft.com/office/spreadsheetml/2017/richdata2" ref="A4:AH182">
      <sortCondition sortBy="cellColor" ref="O3:O182" dxfId="0"/>
    </sortState>
  </autoFilter>
  <hyperlinks>
    <hyperlink ref="AI2" location="DASH!A1" display="DASH!A1" xr:uid="{00000000-0004-0000-0100-000000000000}"/>
  </hyperlink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55"/>
  <sheetViews>
    <sheetView topLeftCell="E1" zoomScale="130" zoomScaleNormal="130" workbookViewId="0">
      <pane ySplit="1" topLeftCell="A2" activePane="bottomLeft" state="frozen"/>
      <selection activeCell="V1" sqref="V1"/>
      <selection pane="bottomLeft" activeCell="AG3" sqref="AG3"/>
    </sheetView>
  </sheetViews>
  <sheetFormatPr defaultRowHeight="15" x14ac:dyDescent="0.25"/>
  <cols>
    <col min="1" max="1" width="10.42578125" style="66" customWidth="1"/>
    <col min="2" max="2" width="30.7109375" style="66" customWidth="1"/>
    <col min="3" max="3" width="21.28515625" style="66" customWidth="1"/>
    <col min="4" max="4" width="9.42578125" style="66" customWidth="1"/>
    <col min="5" max="5" width="13.42578125" style="64" customWidth="1"/>
    <col min="6" max="6" width="19.5703125" style="64" bestFit="1" customWidth="1"/>
    <col min="7" max="7" width="7.7109375" style="64" customWidth="1"/>
    <col min="8" max="8" width="9.28515625" style="64" customWidth="1"/>
    <col min="9" max="9" width="6.85546875" style="64" customWidth="1"/>
    <col min="10" max="10" width="7.5703125" style="64" customWidth="1"/>
    <col min="11" max="11" width="8.85546875" style="67" customWidth="1"/>
    <col min="12" max="12" width="11.42578125" style="67" customWidth="1"/>
    <col min="13" max="13" width="11.42578125" style="50" customWidth="1"/>
    <col min="14" max="14" width="14.5703125" style="51" customWidth="1"/>
    <col min="15" max="15" width="12.7109375" style="51" customWidth="1"/>
    <col min="16" max="16" width="11" style="51" customWidth="1"/>
    <col min="17" max="17" width="8.42578125" style="144" customWidth="1"/>
    <col min="18" max="18" width="8.28515625" customWidth="1"/>
    <col min="19" max="19" width="8.140625" customWidth="1"/>
    <col min="20" max="20" width="11.7109375" customWidth="1"/>
    <col min="21" max="21" width="8.5703125" customWidth="1"/>
    <col min="22" max="22" width="9.28515625" customWidth="1"/>
    <col min="23" max="23" width="6.42578125" customWidth="1"/>
    <col min="24" max="24" width="9" style="144"/>
    <col min="25" max="25" width="10.140625" style="144" customWidth="1"/>
    <col min="26" max="26" width="11.140625" style="144" customWidth="1"/>
    <col min="27" max="27" width="14.5703125" customWidth="1"/>
    <col min="28" max="28" width="10.140625" customWidth="1"/>
    <col min="29" max="29" width="10.7109375" customWidth="1"/>
    <col min="30" max="30" width="7.7109375" customWidth="1"/>
    <col min="31" max="31" width="10.7109375" style="144" customWidth="1"/>
    <col min="32" max="32" width="9.28515625" style="144" customWidth="1"/>
    <col min="33" max="33" width="103.28515625" customWidth="1"/>
  </cols>
  <sheetData>
    <row r="1" spans="1:33" ht="60" customHeight="1" x14ac:dyDescent="0.25">
      <c r="A1" s="323" t="s">
        <v>18</v>
      </c>
      <c r="B1" s="323"/>
      <c r="C1" s="324" t="s">
        <v>25</v>
      </c>
      <c r="D1" s="324"/>
      <c r="E1" s="324"/>
      <c r="F1" s="324"/>
      <c r="G1" s="324"/>
      <c r="H1" s="324"/>
      <c r="I1" s="324"/>
      <c r="J1" s="324"/>
      <c r="K1" s="324"/>
      <c r="L1" s="324"/>
      <c r="M1" s="324"/>
      <c r="N1" s="324"/>
      <c r="O1" s="324"/>
      <c r="P1" s="324"/>
      <c r="Q1" s="324"/>
      <c r="R1" s="324"/>
      <c r="S1" s="324"/>
      <c r="T1" s="324"/>
      <c r="U1" s="324"/>
      <c r="V1" s="324"/>
      <c r="W1" s="324"/>
      <c r="X1" s="324"/>
      <c r="Y1" s="324"/>
      <c r="Z1" s="324"/>
      <c r="AA1" s="324"/>
      <c r="AB1" s="324"/>
      <c r="AC1" s="324"/>
      <c r="AD1" s="324"/>
      <c r="AE1" s="324"/>
      <c r="AF1" s="324"/>
      <c r="AG1" s="324"/>
    </row>
    <row r="2" spans="1:33" s="56" customFormat="1" ht="54" x14ac:dyDescent="0.25">
      <c r="A2" s="43" t="s">
        <v>0</v>
      </c>
      <c r="B2" s="43" t="s">
        <v>91</v>
      </c>
      <c r="C2" s="43" t="s">
        <v>1</v>
      </c>
      <c r="D2" s="43" t="s">
        <v>2</v>
      </c>
      <c r="E2" s="43" t="s">
        <v>17</v>
      </c>
      <c r="F2" s="43" t="s">
        <v>52</v>
      </c>
      <c r="G2" s="208" t="s">
        <v>53</v>
      </c>
      <c r="H2" s="208" t="s">
        <v>54</v>
      </c>
      <c r="I2" s="208" t="s">
        <v>55</v>
      </c>
      <c r="J2" s="208" t="s">
        <v>56</v>
      </c>
      <c r="K2" s="209" t="s">
        <v>57</v>
      </c>
      <c r="L2" s="209" t="s">
        <v>58</v>
      </c>
      <c r="M2" s="58" t="s">
        <v>59</v>
      </c>
      <c r="N2" s="58" t="s">
        <v>60</v>
      </c>
      <c r="O2" s="58" t="s">
        <v>61</v>
      </c>
      <c r="P2" s="59" t="s">
        <v>62</v>
      </c>
      <c r="Q2" s="60" t="s">
        <v>5</v>
      </c>
      <c r="R2" s="60" t="s">
        <v>6</v>
      </c>
      <c r="S2" s="60" t="s">
        <v>7</v>
      </c>
      <c r="T2" s="61" t="s">
        <v>8</v>
      </c>
      <c r="U2" s="60" t="s">
        <v>51</v>
      </c>
      <c r="V2" s="61" t="s">
        <v>68</v>
      </c>
      <c r="W2" s="60" t="s">
        <v>10</v>
      </c>
      <c r="X2" s="52" t="s">
        <v>21</v>
      </c>
      <c r="Y2" s="52" t="s">
        <v>22</v>
      </c>
      <c r="Z2" s="52" t="s">
        <v>23</v>
      </c>
      <c r="AA2" s="52" t="s">
        <v>24</v>
      </c>
      <c r="AB2" s="52" t="s">
        <v>63</v>
      </c>
      <c r="AC2" s="52" t="s">
        <v>67</v>
      </c>
      <c r="AD2" s="55" t="s">
        <v>64</v>
      </c>
      <c r="AE2" s="53" t="s">
        <v>72</v>
      </c>
      <c r="AF2" s="53" t="s">
        <v>65</v>
      </c>
      <c r="AG2" s="55" t="s">
        <v>14</v>
      </c>
    </row>
    <row r="3" spans="1:33" s="57" customFormat="1" ht="14.45" customHeight="1" x14ac:dyDescent="0.25">
      <c r="A3" s="79">
        <v>46028</v>
      </c>
      <c r="B3" s="212" t="s">
        <v>164</v>
      </c>
      <c r="C3" s="132" t="s">
        <v>165</v>
      </c>
      <c r="D3" s="212" t="s">
        <v>166</v>
      </c>
      <c r="E3" s="216" t="s">
        <v>167</v>
      </c>
      <c r="F3" s="80" t="s">
        <v>818</v>
      </c>
      <c r="G3" s="81"/>
      <c r="H3" s="81"/>
      <c r="I3" s="81" t="s">
        <v>819</v>
      </c>
      <c r="J3" s="81"/>
      <c r="K3" s="82">
        <v>6</v>
      </c>
      <c r="L3" s="82">
        <v>6</v>
      </c>
      <c r="M3" s="83">
        <v>1</v>
      </c>
      <c r="N3" s="83"/>
      <c r="O3" s="83">
        <v>1</v>
      </c>
      <c r="P3" s="83">
        <v>6</v>
      </c>
      <c r="Q3" s="143" t="s">
        <v>819</v>
      </c>
      <c r="R3" s="84"/>
      <c r="S3" s="84"/>
      <c r="T3" s="84"/>
      <c r="U3" s="85"/>
      <c r="V3" s="84"/>
      <c r="W3" s="84"/>
      <c r="X3" s="143"/>
      <c r="Y3" s="143" t="s">
        <v>819</v>
      </c>
      <c r="Z3" s="143" t="s">
        <v>819</v>
      </c>
      <c r="AA3" s="84"/>
      <c r="AB3" s="85"/>
      <c r="AC3" s="84"/>
      <c r="AD3" s="84"/>
      <c r="AE3" s="143"/>
      <c r="AF3" s="143"/>
      <c r="AG3" s="86" t="s">
        <v>817</v>
      </c>
    </row>
    <row r="4" spans="1:33" s="57" customFormat="1" ht="14.45" customHeight="1" x14ac:dyDescent="0.25">
      <c r="A4" s="176">
        <v>46035</v>
      </c>
      <c r="B4" s="212" t="s">
        <v>366</v>
      </c>
      <c r="C4" s="132" t="s">
        <v>367</v>
      </c>
      <c r="D4" s="212" t="s">
        <v>368</v>
      </c>
      <c r="E4" s="216" t="s">
        <v>369</v>
      </c>
      <c r="F4" s="174" t="s">
        <v>820</v>
      </c>
      <c r="G4" s="81" t="s">
        <v>819</v>
      </c>
      <c r="H4" s="81"/>
      <c r="I4" s="81"/>
      <c r="J4" s="81"/>
      <c r="K4" s="82">
        <v>2</v>
      </c>
      <c r="L4" s="82">
        <v>2</v>
      </c>
      <c r="M4" s="83">
        <v>2</v>
      </c>
      <c r="N4" s="83">
        <v>2</v>
      </c>
      <c r="O4" s="83"/>
      <c r="P4" s="83">
        <v>2</v>
      </c>
      <c r="Q4" s="143" t="s">
        <v>819</v>
      </c>
      <c r="R4" s="84"/>
      <c r="S4" s="84"/>
      <c r="T4" s="84"/>
      <c r="U4" s="85"/>
      <c r="V4" s="84"/>
      <c r="W4" s="84"/>
      <c r="X4" s="143" t="s">
        <v>819</v>
      </c>
      <c r="Y4" s="143" t="s">
        <v>819</v>
      </c>
      <c r="Z4" s="143"/>
      <c r="AA4" s="84"/>
      <c r="AB4" s="85"/>
      <c r="AC4" s="84"/>
      <c r="AD4" s="84"/>
      <c r="AE4" s="143"/>
      <c r="AF4" s="143"/>
      <c r="AG4" s="86" t="s">
        <v>371</v>
      </c>
    </row>
    <row r="5" spans="1:33" s="57" customFormat="1" x14ac:dyDescent="0.25">
      <c r="A5" s="176">
        <v>46038</v>
      </c>
      <c r="B5" s="93" t="s">
        <v>475</v>
      </c>
      <c r="C5" s="134" t="s">
        <v>476</v>
      </c>
      <c r="D5" s="93" t="s">
        <v>477</v>
      </c>
      <c r="E5" s="94" t="s">
        <v>478</v>
      </c>
      <c r="F5" s="80" t="s">
        <v>820</v>
      </c>
      <c r="G5" s="81" t="s">
        <v>819</v>
      </c>
      <c r="H5" s="81"/>
      <c r="I5" s="81"/>
      <c r="J5" s="81"/>
      <c r="K5" s="82">
        <v>1</v>
      </c>
      <c r="L5" s="82">
        <v>1</v>
      </c>
      <c r="M5" s="83">
        <v>1</v>
      </c>
      <c r="N5" s="83"/>
      <c r="O5" s="83">
        <v>1</v>
      </c>
      <c r="P5" s="83">
        <v>1</v>
      </c>
      <c r="Q5" s="143" t="s">
        <v>819</v>
      </c>
      <c r="R5" s="85"/>
      <c r="S5" s="84"/>
      <c r="T5" s="84"/>
      <c r="U5" s="84"/>
      <c r="V5" s="84"/>
      <c r="W5" s="84"/>
      <c r="X5" s="143"/>
      <c r="Y5" s="143" t="s">
        <v>819</v>
      </c>
      <c r="Z5" s="143"/>
      <c r="AA5" s="84"/>
      <c r="AB5" s="84"/>
      <c r="AC5" s="85"/>
      <c r="AD5" s="84"/>
      <c r="AE5" s="143"/>
      <c r="AF5" s="143"/>
      <c r="AG5" s="86" t="s">
        <v>822</v>
      </c>
    </row>
    <row r="6" spans="1:33" s="57" customFormat="1" x14ac:dyDescent="0.25">
      <c r="A6" s="176">
        <v>46042</v>
      </c>
      <c r="B6" s="93" t="s">
        <v>583</v>
      </c>
      <c r="C6" s="134" t="s">
        <v>584</v>
      </c>
      <c r="D6" s="93" t="s">
        <v>585</v>
      </c>
      <c r="E6" s="94" t="s">
        <v>586</v>
      </c>
      <c r="F6" s="80" t="s">
        <v>824</v>
      </c>
      <c r="G6" s="81" t="s">
        <v>819</v>
      </c>
      <c r="H6" s="81"/>
      <c r="I6" s="81"/>
      <c r="J6" s="81"/>
      <c r="K6" s="82">
        <v>2</v>
      </c>
      <c r="L6" s="82">
        <v>2</v>
      </c>
      <c r="M6" s="83">
        <v>1</v>
      </c>
      <c r="N6" s="83"/>
      <c r="O6" s="83">
        <v>1</v>
      </c>
      <c r="P6" s="83">
        <v>2</v>
      </c>
      <c r="Q6" s="143" t="s">
        <v>819</v>
      </c>
      <c r="R6" s="85"/>
      <c r="S6" s="84"/>
      <c r="T6" s="84"/>
      <c r="U6" s="84"/>
      <c r="V6" s="84"/>
      <c r="W6" s="84"/>
      <c r="X6" s="143" t="s">
        <v>819</v>
      </c>
      <c r="Y6" s="143"/>
      <c r="Z6" s="143"/>
      <c r="AA6" s="84"/>
      <c r="AB6" s="84"/>
      <c r="AC6" s="85"/>
      <c r="AD6" s="84"/>
      <c r="AE6" s="143"/>
      <c r="AF6" s="143"/>
      <c r="AG6" s="133" t="s">
        <v>825</v>
      </c>
    </row>
    <row r="7" spans="1:33" s="57" customFormat="1" x14ac:dyDescent="0.25">
      <c r="A7" s="176">
        <v>46043</v>
      </c>
      <c r="B7" s="93" t="s">
        <v>621</v>
      </c>
      <c r="C7" s="134" t="s">
        <v>622</v>
      </c>
      <c r="D7" s="93" t="s">
        <v>623</v>
      </c>
      <c r="E7" s="94" t="s">
        <v>624</v>
      </c>
      <c r="F7" s="174" t="s">
        <v>826</v>
      </c>
      <c r="G7" s="81" t="s">
        <v>819</v>
      </c>
      <c r="H7" s="81"/>
      <c r="I7" s="81"/>
      <c r="J7" s="81"/>
      <c r="K7" s="82">
        <v>3</v>
      </c>
      <c r="L7" s="82">
        <v>3</v>
      </c>
      <c r="M7" s="83">
        <v>1</v>
      </c>
      <c r="N7" s="83">
        <v>1</v>
      </c>
      <c r="O7" s="83"/>
      <c r="P7" s="83">
        <v>3</v>
      </c>
      <c r="Q7" s="143" t="s">
        <v>819</v>
      </c>
      <c r="R7" s="85"/>
      <c r="S7" s="84"/>
      <c r="T7" s="84"/>
      <c r="U7" s="84"/>
      <c r="V7" s="84"/>
      <c r="W7" s="84"/>
      <c r="X7" s="143"/>
      <c r="Y7" s="143"/>
      <c r="Z7" s="143" t="s">
        <v>819</v>
      </c>
      <c r="AA7" s="84"/>
      <c r="AB7" s="84"/>
      <c r="AC7" s="85"/>
      <c r="AD7" s="84"/>
      <c r="AE7" s="143"/>
      <c r="AF7" s="143"/>
      <c r="AG7" s="133" t="s">
        <v>834</v>
      </c>
    </row>
    <row r="8" spans="1:33" s="57" customFormat="1" ht="15" customHeight="1" x14ac:dyDescent="0.25">
      <c r="A8" s="176">
        <v>46049</v>
      </c>
      <c r="B8" s="292" t="s">
        <v>670</v>
      </c>
      <c r="C8" s="134" t="s">
        <v>633</v>
      </c>
      <c r="D8" s="93" t="s">
        <v>680</v>
      </c>
      <c r="E8" s="94" t="s">
        <v>700</v>
      </c>
      <c r="F8" s="80" t="s">
        <v>826</v>
      </c>
      <c r="G8" s="81" t="s">
        <v>819</v>
      </c>
      <c r="H8" s="81"/>
      <c r="I8" s="81"/>
      <c r="J8" s="81"/>
      <c r="K8" s="82">
        <v>1</v>
      </c>
      <c r="L8" s="82">
        <v>1</v>
      </c>
      <c r="M8" s="83">
        <v>1</v>
      </c>
      <c r="N8" s="83"/>
      <c r="O8" s="83">
        <v>1</v>
      </c>
      <c r="P8" s="83">
        <v>1</v>
      </c>
      <c r="Q8" s="143" t="s">
        <v>819</v>
      </c>
      <c r="R8" s="85"/>
      <c r="S8" s="85"/>
      <c r="T8" s="85"/>
      <c r="U8" s="84"/>
      <c r="V8" s="84"/>
      <c r="W8" s="84"/>
      <c r="X8" s="143"/>
      <c r="Y8" s="143" t="s">
        <v>819</v>
      </c>
      <c r="Z8" s="143"/>
      <c r="AA8" s="84"/>
      <c r="AB8" s="84"/>
      <c r="AC8" s="84"/>
      <c r="AD8" s="84"/>
      <c r="AE8" s="143"/>
      <c r="AF8" s="143"/>
      <c r="AG8" s="133" t="s">
        <v>734</v>
      </c>
    </row>
    <row r="9" spans="1:33" s="57" customFormat="1" x14ac:dyDescent="0.25">
      <c r="A9" s="176">
        <v>46049</v>
      </c>
      <c r="B9" s="184" t="s">
        <v>726</v>
      </c>
      <c r="C9" s="174" t="s">
        <v>145</v>
      </c>
      <c r="D9" s="184" t="s">
        <v>743</v>
      </c>
      <c r="E9" s="187" t="s">
        <v>736</v>
      </c>
      <c r="F9" s="80" t="s">
        <v>827</v>
      </c>
      <c r="G9" s="81" t="s">
        <v>819</v>
      </c>
      <c r="H9" s="81"/>
      <c r="I9" s="81"/>
      <c r="J9" s="81"/>
      <c r="K9" s="82">
        <v>1</v>
      </c>
      <c r="L9" s="82">
        <v>1</v>
      </c>
      <c r="M9" s="83">
        <v>1</v>
      </c>
      <c r="N9" s="83">
        <v>1</v>
      </c>
      <c r="O9" s="83"/>
      <c r="P9" s="83">
        <v>1</v>
      </c>
      <c r="Q9" s="143" t="s">
        <v>819</v>
      </c>
      <c r="R9" s="84"/>
      <c r="S9" s="84"/>
      <c r="T9" s="84"/>
      <c r="U9" s="84"/>
      <c r="V9" s="84"/>
      <c r="W9" s="84"/>
      <c r="X9" s="143"/>
      <c r="Y9" s="143" t="s">
        <v>819</v>
      </c>
      <c r="Z9" s="143"/>
      <c r="AA9" s="84"/>
      <c r="AB9" s="84"/>
      <c r="AC9" s="84"/>
      <c r="AD9" s="84"/>
      <c r="AE9" s="143"/>
      <c r="AF9" s="143"/>
      <c r="AG9" s="86" t="s">
        <v>832</v>
      </c>
    </row>
    <row r="10" spans="1:33" s="57" customFormat="1" x14ac:dyDescent="0.25">
      <c r="A10" s="79" t="s">
        <v>836</v>
      </c>
      <c r="B10" s="183" t="s">
        <v>663</v>
      </c>
      <c r="C10" s="87" t="s">
        <v>511</v>
      </c>
      <c r="D10" s="183" t="s">
        <v>536</v>
      </c>
      <c r="E10" s="88" t="s">
        <v>716</v>
      </c>
      <c r="F10" s="80" t="s">
        <v>837</v>
      </c>
      <c r="G10" s="81" t="s">
        <v>819</v>
      </c>
      <c r="H10" s="81"/>
      <c r="I10" s="81"/>
      <c r="J10" s="81"/>
      <c r="K10" s="82">
        <v>6</v>
      </c>
      <c r="L10" s="82">
        <v>6</v>
      </c>
      <c r="M10" s="83">
        <v>2</v>
      </c>
      <c r="N10" s="83">
        <v>2</v>
      </c>
      <c r="O10" s="83"/>
      <c r="P10" s="83">
        <v>6</v>
      </c>
      <c r="Q10" s="143" t="s">
        <v>819</v>
      </c>
      <c r="R10" s="84"/>
      <c r="S10" s="84"/>
      <c r="T10" s="84"/>
      <c r="U10" s="84"/>
      <c r="V10" s="84"/>
      <c r="W10" s="84"/>
      <c r="X10" s="143"/>
      <c r="Y10" s="143"/>
      <c r="Z10" s="143"/>
      <c r="AA10" s="84"/>
      <c r="AB10" s="84"/>
      <c r="AC10" s="84"/>
      <c r="AD10" s="84"/>
      <c r="AE10" s="143" t="s">
        <v>819</v>
      </c>
      <c r="AF10" s="143"/>
      <c r="AG10" s="86" t="s">
        <v>838</v>
      </c>
    </row>
    <row r="11" spans="1:33" s="57" customFormat="1" x14ac:dyDescent="0.25">
      <c r="A11" s="79"/>
      <c r="B11" s="183"/>
      <c r="C11" s="87"/>
      <c r="D11" s="183"/>
      <c r="E11" s="88"/>
      <c r="F11" s="80"/>
      <c r="G11" s="81"/>
      <c r="H11" s="81"/>
      <c r="I11" s="81"/>
      <c r="J11" s="81"/>
      <c r="K11" s="82"/>
      <c r="L11" s="82"/>
      <c r="M11" s="83"/>
      <c r="N11" s="83"/>
      <c r="O11" s="83"/>
      <c r="P11" s="83"/>
      <c r="Q11" s="143"/>
      <c r="R11" s="84"/>
      <c r="S11" s="84"/>
      <c r="T11" s="84"/>
      <c r="U11" s="84"/>
      <c r="V11" s="84"/>
      <c r="W11" s="84"/>
      <c r="X11" s="143"/>
      <c r="Y11" s="143"/>
      <c r="Z11" s="143"/>
      <c r="AA11" s="84"/>
      <c r="AB11" s="84"/>
      <c r="AC11" s="84"/>
      <c r="AD11" s="84"/>
      <c r="AE11" s="143"/>
      <c r="AF11" s="143"/>
      <c r="AG11" s="86"/>
    </row>
    <row r="12" spans="1:33" s="57" customFormat="1" x14ac:dyDescent="0.25">
      <c r="A12" s="79"/>
      <c r="B12" s="184"/>
      <c r="C12" s="87"/>
      <c r="D12" s="184"/>
      <c r="E12" s="187"/>
      <c r="F12" s="80"/>
      <c r="G12" s="81"/>
      <c r="H12" s="81"/>
      <c r="I12" s="81"/>
      <c r="J12" s="81"/>
      <c r="K12" s="82"/>
      <c r="L12" s="82"/>
      <c r="M12" s="83"/>
      <c r="N12" s="83"/>
      <c r="O12" s="83"/>
      <c r="P12" s="83"/>
      <c r="Q12" s="143"/>
      <c r="R12" s="84"/>
      <c r="S12" s="84"/>
      <c r="T12" s="84"/>
      <c r="U12" s="84"/>
      <c r="V12" s="84"/>
      <c r="W12" s="84"/>
      <c r="X12" s="143"/>
      <c r="Y12" s="143"/>
      <c r="Z12" s="143"/>
      <c r="AA12" s="84"/>
      <c r="AB12" s="84"/>
      <c r="AC12" s="84"/>
      <c r="AD12" s="84"/>
      <c r="AE12" s="143"/>
      <c r="AF12" s="143"/>
      <c r="AG12" s="86"/>
    </row>
    <row r="13" spans="1:33" s="57" customFormat="1" x14ac:dyDescent="0.25">
      <c r="A13" s="79"/>
      <c r="B13" s="184"/>
      <c r="C13" s="80"/>
      <c r="D13" s="184"/>
      <c r="E13" s="187"/>
      <c r="F13" s="80"/>
      <c r="G13" s="81"/>
      <c r="H13" s="81"/>
      <c r="I13" s="81"/>
      <c r="J13" s="81"/>
      <c r="K13" s="82"/>
      <c r="L13" s="82"/>
      <c r="M13" s="83"/>
      <c r="N13" s="83"/>
      <c r="O13" s="83"/>
      <c r="P13" s="83"/>
      <c r="Q13" s="143"/>
      <c r="R13" s="84"/>
      <c r="S13" s="84"/>
      <c r="T13" s="84"/>
      <c r="U13" s="84"/>
      <c r="V13" s="84"/>
      <c r="W13" s="84"/>
      <c r="X13" s="143"/>
      <c r="Y13" s="143"/>
      <c r="Z13" s="143"/>
      <c r="AA13" s="84"/>
      <c r="AB13" s="84"/>
      <c r="AC13" s="84"/>
      <c r="AD13" s="84"/>
      <c r="AE13" s="143"/>
      <c r="AF13" s="143"/>
      <c r="AG13" s="86"/>
    </row>
    <row r="14" spans="1:33" s="57" customFormat="1" x14ac:dyDescent="0.25">
      <c r="A14" s="79"/>
      <c r="B14" s="184"/>
      <c r="C14" s="164"/>
      <c r="D14" s="184"/>
      <c r="E14" s="187"/>
      <c r="F14" s="80"/>
      <c r="G14" s="81"/>
      <c r="H14" s="81"/>
      <c r="I14" s="81"/>
      <c r="J14" s="81"/>
      <c r="K14" s="82"/>
      <c r="L14" s="82"/>
      <c r="M14" s="83"/>
      <c r="N14" s="83"/>
      <c r="O14" s="83"/>
      <c r="P14" s="83"/>
      <c r="Q14" s="143"/>
      <c r="R14" s="84"/>
      <c r="S14" s="84"/>
      <c r="T14" s="84"/>
      <c r="U14" s="84"/>
      <c r="V14" s="84"/>
      <c r="W14" s="84"/>
      <c r="X14" s="143"/>
      <c r="Y14" s="143"/>
      <c r="Z14" s="143"/>
      <c r="AA14" s="84"/>
      <c r="AB14" s="84"/>
      <c r="AC14" s="84"/>
      <c r="AD14" s="84"/>
      <c r="AE14" s="143"/>
      <c r="AF14" s="143"/>
      <c r="AG14" s="86"/>
    </row>
    <row r="15" spans="1:33" s="57" customFormat="1" x14ac:dyDescent="0.25">
      <c r="A15" s="79"/>
      <c r="B15" s="184"/>
      <c r="C15" s="80"/>
      <c r="D15" s="184"/>
      <c r="E15" s="187"/>
      <c r="F15" s="80"/>
      <c r="G15" s="81"/>
      <c r="H15" s="81"/>
      <c r="I15" s="81"/>
      <c r="J15" s="81"/>
      <c r="K15" s="82"/>
      <c r="L15" s="82"/>
      <c r="M15" s="83"/>
      <c r="N15" s="83"/>
      <c r="O15" s="83"/>
      <c r="P15" s="83"/>
      <c r="Q15" s="143"/>
      <c r="R15" s="84"/>
      <c r="S15" s="84"/>
      <c r="T15" s="84"/>
      <c r="U15" s="84"/>
      <c r="V15" s="84"/>
      <c r="W15" s="84"/>
      <c r="X15" s="143"/>
      <c r="Y15" s="143"/>
      <c r="Z15" s="143"/>
      <c r="AA15" s="84"/>
      <c r="AB15" s="84"/>
      <c r="AC15" s="84"/>
      <c r="AD15" s="84"/>
      <c r="AE15" s="143"/>
      <c r="AF15" s="143"/>
      <c r="AG15" s="188"/>
    </row>
    <row r="16" spans="1:33" s="57" customFormat="1" x14ac:dyDescent="0.25">
      <c r="A16" s="79"/>
      <c r="B16" s="184"/>
      <c r="C16" s="80"/>
      <c r="D16" s="184"/>
      <c r="E16" s="187"/>
      <c r="F16" s="81"/>
      <c r="G16" s="81"/>
      <c r="H16" s="81"/>
      <c r="I16" s="81"/>
      <c r="J16" s="81"/>
      <c r="K16" s="82"/>
      <c r="L16" s="82"/>
      <c r="M16" s="83"/>
      <c r="N16" s="83"/>
      <c r="O16" s="83"/>
      <c r="P16" s="83"/>
      <c r="Q16" s="143"/>
      <c r="R16" s="84"/>
      <c r="S16" s="84"/>
      <c r="T16" s="84"/>
      <c r="U16" s="84"/>
      <c r="V16" s="84"/>
      <c r="W16" s="84"/>
      <c r="X16" s="143"/>
      <c r="Y16" s="143"/>
      <c r="Z16" s="143"/>
      <c r="AA16" s="84"/>
      <c r="AB16" s="84"/>
      <c r="AC16" s="84"/>
      <c r="AD16" s="84"/>
      <c r="AE16" s="143"/>
      <c r="AF16" s="143"/>
      <c r="AG16" s="86"/>
    </row>
    <row r="17" spans="1:33" s="57" customFormat="1" x14ac:dyDescent="0.25">
      <c r="A17" s="79"/>
      <c r="B17" s="184"/>
      <c r="C17" s="80"/>
      <c r="D17" s="184"/>
      <c r="E17" s="187"/>
      <c r="F17" s="80"/>
      <c r="G17" s="81"/>
      <c r="H17" s="81"/>
      <c r="I17" s="81"/>
      <c r="J17" s="81"/>
      <c r="K17" s="82"/>
      <c r="L17" s="82"/>
      <c r="M17" s="83"/>
      <c r="N17" s="83"/>
      <c r="O17" s="83"/>
      <c r="P17" s="83"/>
      <c r="Q17" s="143"/>
      <c r="R17" s="84"/>
      <c r="S17" s="84"/>
      <c r="T17" s="84"/>
      <c r="U17" s="84"/>
      <c r="V17" s="84"/>
      <c r="W17" s="84"/>
      <c r="X17" s="143"/>
      <c r="Y17" s="143"/>
      <c r="Z17" s="143"/>
      <c r="AA17" s="84"/>
      <c r="AB17" s="84"/>
      <c r="AC17" s="84"/>
      <c r="AD17" s="84"/>
      <c r="AE17" s="143"/>
      <c r="AF17" s="143"/>
      <c r="AG17" s="86"/>
    </row>
    <row r="18" spans="1:33" s="57" customFormat="1" x14ac:dyDescent="0.25">
      <c r="A18" s="79"/>
      <c r="B18" s="184"/>
      <c r="C18" s="80"/>
      <c r="D18" s="184"/>
      <c r="E18" s="187"/>
      <c r="F18" s="80"/>
      <c r="G18" s="81"/>
      <c r="H18" s="81"/>
      <c r="I18" s="81"/>
      <c r="J18" s="81"/>
      <c r="K18" s="82"/>
      <c r="L18" s="82"/>
      <c r="M18" s="83"/>
      <c r="N18" s="83"/>
      <c r="O18" s="83"/>
      <c r="P18" s="83"/>
      <c r="Q18" s="143"/>
      <c r="R18" s="84"/>
      <c r="S18" s="84"/>
      <c r="T18" s="84"/>
      <c r="U18" s="84"/>
      <c r="V18" s="84"/>
      <c r="W18" s="84"/>
      <c r="X18" s="143"/>
      <c r="Y18" s="143"/>
      <c r="Z18" s="143"/>
      <c r="AA18" s="84"/>
      <c r="AB18" s="84"/>
      <c r="AC18" s="84"/>
      <c r="AD18" s="84"/>
      <c r="AE18" s="143"/>
      <c r="AF18" s="143"/>
      <c r="AG18" s="86"/>
    </row>
    <row r="19" spans="1:33" s="57" customFormat="1" x14ac:dyDescent="0.2">
      <c r="A19" s="79"/>
      <c r="B19" s="184"/>
      <c r="C19" s="80"/>
      <c r="D19" s="184"/>
      <c r="E19" s="187"/>
      <c r="F19" s="80"/>
      <c r="G19" s="81"/>
      <c r="H19" s="81"/>
      <c r="I19" s="81"/>
      <c r="J19" s="81"/>
      <c r="K19" s="82"/>
      <c r="L19" s="82"/>
      <c r="M19" s="83"/>
      <c r="N19" s="83"/>
      <c r="O19" s="83"/>
      <c r="P19" s="83"/>
      <c r="Q19" s="143"/>
      <c r="R19" s="84"/>
      <c r="S19" s="84"/>
      <c r="T19" s="84"/>
      <c r="U19" s="84"/>
      <c r="V19" s="84"/>
      <c r="W19" s="84"/>
      <c r="X19" s="143"/>
      <c r="Y19" s="143"/>
      <c r="Z19" s="143"/>
      <c r="AA19" s="84"/>
      <c r="AB19" s="84"/>
      <c r="AC19" s="84"/>
      <c r="AD19" s="84"/>
      <c r="AE19" s="143"/>
      <c r="AF19" s="143"/>
      <c r="AG19" s="89"/>
    </row>
    <row r="20" spans="1:33" s="57" customFormat="1" x14ac:dyDescent="0.2">
      <c r="A20" s="79"/>
      <c r="B20" s="184"/>
      <c r="C20" s="80"/>
      <c r="D20" s="184"/>
      <c r="E20" s="187"/>
      <c r="F20" s="80"/>
      <c r="G20" s="81"/>
      <c r="H20" s="81"/>
      <c r="I20" s="81"/>
      <c r="J20" s="81"/>
      <c r="K20" s="82"/>
      <c r="L20" s="82"/>
      <c r="M20" s="83"/>
      <c r="N20" s="83"/>
      <c r="O20" s="83"/>
      <c r="P20" s="83"/>
      <c r="Q20" s="143"/>
      <c r="R20" s="84"/>
      <c r="S20" s="84"/>
      <c r="T20" s="84"/>
      <c r="U20" s="84"/>
      <c r="V20" s="84"/>
      <c r="W20" s="84"/>
      <c r="X20" s="143"/>
      <c r="Y20" s="143"/>
      <c r="Z20" s="143"/>
      <c r="AA20" s="84"/>
      <c r="AB20" s="84"/>
      <c r="AC20" s="84"/>
      <c r="AD20" s="84"/>
      <c r="AE20" s="143"/>
      <c r="AF20" s="143"/>
      <c r="AG20" s="89"/>
    </row>
    <row r="21" spans="1:33" s="57" customFormat="1" x14ac:dyDescent="0.2">
      <c r="A21" s="80"/>
      <c r="B21" s="184"/>
      <c r="C21" s="80"/>
      <c r="D21" s="184"/>
      <c r="E21" s="187"/>
      <c r="F21" s="80"/>
      <c r="G21" s="81"/>
      <c r="H21" s="81"/>
      <c r="I21" s="81"/>
      <c r="J21" s="81"/>
      <c r="K21" s="82"/>
      <c r="L21" s="82"/>
      <c r="M21" s="83"/>
      <c r="N21" s="83"/>
      <c r="O21" s="83"/>
      <c r="P21" s="83"/>
      <c r="Q21" s="143"/>
      <c r="R21" s="84"/>
      <c r="S21" s="84"/>
      <c r="T21" s="84"/>
      <c r="U21" s="84"/>
      <c r="V21" s="84"/>
      <c r="W21" s="84"/>
      <c r="X21" s="143"/>
      <c r="Y21" s="143"/>
      <c r="Z21" s="143"/>
      <c r="AA21" s="84"/>
      <c r="AB21" s="84"/>
      <c r="AC21" s="84"/>
      <c r="AD21" s="84"/>
      <c r="AE21" s="143"/>
      <c r="AF21" s="143"/>
      <c r="AG21" s="89"/>
    </row>
    <row r="22" spans="1:33" s="57" customFormat="1" x14ac:dyDescent="0.2">
      <c r="A22" s="80"/>
      <c r="B22" s="184"/>
      <c r="C22" s="80"/>
      <c r="D22" s="184"/>
      <c r="E22" s="187"/>
      <c r="F22" s="80"/>
      <c r="G22" s="81"/>
      <c r="H22" s="81"/>
      <c r="I22" s="81"/>
      <c r="J22" s="81"/>
      <c r="K22" s="82"/>
      <c r="L22" s="82"/>
      <c r="M22" s="83"/>
      <c r="N22" s="83"/>
      <c r="O22" s="83"/>
      <c r="P22" s="83"/>
      <c r="Q22" s="143"/>
      <c r="R22" s="84"/>
      <c r="S22" s="84"/>
      <c r="T22" s="84"/>
      <c r="U22" s="84"/>
      <c r="V22" s="84"/>
      <c r="W22" s="84"/>
      <c r="X22" s="143"/>
      <c r="Y22" s="143"/>
      <c r="Z22" s="143"/>
      <c r="AA22" s="84"/>
      <c r="AB22" s="84"/>
      <c r="AC22" s="84"/>
      <c r="AD22" s="84"/>
      <c r="AE22" s="143"/>
      <c r="AF22" s="143"/>
      <c r="AG22" s="89"/>
    </row>
    <row r="23" spans="1:33" s="57" customFormat="1" x14ac:dyDescent="0.2">
      <c r="A23" s="80"/>
      <c r="B23" s="184"/>
      <c r="C23" s="80"/>
      <c r="D23" s="184"/>
      <c r="E23" s="187"/>
      <c r="F23" s="80"/>
      <c r="G23" s="81"/>
      <c r="H23" s="81"/>
      <c r="I23" s="81"/>
      <c r="J23" s="81"/>
      <c r="K23" s="82"/>
      <c r="L23" s="82"/>
      <c r="M23" s="83"/>
      <c r="N23" s="83"/>
      <c r="O23" s="83"/>
      <c r="P23" s="83"/>
      <c r="Q23" s="143"/>
      <c r="R23" s="84"/>
      <c r="S23" s="84"/>
      <c r="T23" s="84"/>
      <c r="U23" s="84"/>
      <c r="V23" s="84"/>
      <c r="W23" s="84"/>
      <c r="X23" s="143"/>
      <c r="Y23" s="143"/>
      <c r="Z23" s="143"/>
      <c r="AA23" s="84"/>
      <c r="AB23" s="84"/>
      <c r="AC23" s="84"/>
      <c r="AD23" s="84"/>
      <c r="AE23" s="143"/>
      <c r="AF23" s="143"/>
      <c r="AG23" s="89"/>
    </row>
    <row r="24" spans="1:33" s="57" customFormat="1" x14ac:dyDescent="0.2">
      <c r="A24" s="80"/>
      <c r="B24" s="184"/>
      <c r="C24" s="80"/>
      <c r="D24" s="184"/>
      <c r="E24" s="187"/>
      <c r="F24" s="80"/>
      <c r="G24" s="81"/>
      <c r="H24" s="81"/>
      <c r="I24" s="81"/>
      <c r="J24" s="81"/>
      <c r="K24" s="82"/>
      <c r="L24" s="82"/>
      <c r="M24" s="83"/>
      <c r="N24" s="83"/>
      <c r="O24" s="83"/>
      <c r="P24" s="83"/>
      <c r="Q24" s="143"/>
      <c r="R24" s="84"/>
      <c r="S24" s="84"/>
      <c r="T24" s="84"/>
      <c r="U24" s="84"/>
      <c r="V24" s="84"/>
      <c r="W24" s="84"/>
      <c r="X24" s="143"/>
      <c r="Y24" s="143"/>
      <c r="Z24" s="143"/>
      <c r="AA24" s="84"/>
      <c r="AB24" s="84"/>
      <c r="AC24" s="84"/>
      <c r="AD24" s="84"/>
      <c r="AE24" s="143"/>
      <c r="AF24" s="143"/>
      <c r="AG24" s="89"/>
    </row>
    <row r="25" spans="1:33" s="57" customFormat="1" x14ac:dyDescent="0.2">
      <c r="A25" s="80"/>
      <c r="B25" s="184"/>
      <c r="C25" s="80"/>
      <c r="D25" s="184"/>
      <c r="E25" s="187"/>
      <c r="F25" s="80"/>
      <c r="G25" s="81"/>
      <c r="H25" s="81"/>
      <c r="I25" s="81"/>
      <c r="J25" s="81"/>
      <c r="K25" s="82"/>
      <c r="L25" s="82"/>
      <c r="M25" s="83"/>
      <c r="N25" s="83"/>
      <c r="O25" s="83"/>
      <c r="P25" s="83"/>
      <c r="Q25" s="143"/>
      <c r="R25" s="84"/>
      <c r="S25" s="84"/>
      <c r="T25" s="84"/>
      <c r="U25" s="84"/>
      <c r="V25" s="84"/>
      <c r="W25" s="84"/>
      <c r="X25" s="143"/>
      <c r="Y25" s="143"/>
      <c r="Z25" s="143"/>
      <c r="AA25" s="84"/>
      <c r="AB25" s="84"/>
      <c r="AC25" s="84"/>
      <c r="AD25" s="84"/>
      <c r="AE25" s="143"/>
      <c r="AF25" s="143"/>
      <c r="AG25" s="89"/>
    </row>
    <row r="26" spans="1:33" s="57" customFormat="1" x14ac:dyDescent="0.2">
      <c r="A26" s="80"/>
      <c r="B26" s="184"/>
      <c r="C26" s="80"/>
      <c r="D26" s="184"/>
      <c r="E26" s="187"/>
      <c r="F26" s="80"/>
      <c r="G26" s="81"/>
      <c r="H26" s="81"/>
      <c r="I26" s="81"/>
      <c r="J26" s="81"/>
      <c r="K26" s="82"/>
      <c r="L26" s="82"/>
      <c r="M26" s="83"/>
      <c r="N26" s="83"/>
      <c r="O26" s="83"/>
      <c r="P26" s="83"/>
      <c r="Q26" s="143"/>
      <c r="R26" s="84"/>
      <c r="S26" s="84"/>
      <c r="T26" s="84"/>
      <c r="U26" s="84"/>
      <c r="V26" s="84"/>
      <c r="W26" s="84"/>
      <c r="X26" s="143"/>
      <c r="Y26" s="143"/>
      <c r="Z26" s="143"/>
      <c r="AA26" s="84"/>
      <c r="AB26" s="84"/>
      <c r="AC26" s="84"/>
      <c r="AD26" s="84"/>
      <c r="AE26" s="143"/>
      <c r="AF26" s="143"/>
      <c r="AG26" s="89"/>
    </row>
    <row r="27" spans="1:33" x14ac:dyDescent="0.25">
      <c r="A27" s="80"/>
      <c r="B27" s="184"/>
      <c r="C27" s="80"/>
      <c r="D27" s="184"/>
      <c r="E27" s="187"/>
      <c r="F27" s="90"/>
      <c r="G27" s="81"/>
      <c r="H27" s="81"/>
      <c r="I27" s="81"/>
      <c r="J27" s="81"/>
      <c r="K27" s="82"/>
      <c r="L27" s="82"/>
      <c r="M27" s="81"/>
      <c r="N27" s="81"/>
      <c r="O27" s="81"/>
      <c r="P27" s="81"/>
      <c r="Q27" s="141"/>
      <c r="R27" s="91"/>
      <c r="S27" s="91"/>
      <c r="T27" s="91"/>
      <c r="U27" s="91"/>
      <c r="V27" s="91"/>
      <c r="W27" s="91"/>
      <c r="X27" s="141"/>
      <c r="Y27" s="141"/>
      <c r="Z27" s="185"/>
      <c r="AA27" s="91"/>
      <c r="AB27" s="91"/>
      <c r="AC27" s="91"/>
      <c r="AD27" s="91"/>
      <c r="AE27" s="141"/>
      <c r="AF27" s="185"/>
      <c r="AG27" s="92"/>
    </row>
    <row r="28" spans="1:33" x14ac:dyDescent="0.25">
      <c r="A28" s="80"/>
      <c r="B28" s="184"/>
      <c r="C28" s="80"/>
      <c r="D28" s="80"/>
      <c r="E28" s="187"/>
      <c r="F28" s="90"/>
      <c r="G28" s="81"/>
      <c r="H28" s="81"/>
      <c r="I28" s="81"/>
      <c r="J28" s="81"/>
      <c r="K28" s="82"/>
      <c r="L28" s="82"/>
      <c r="M28" s="81"/>
      <c r="N28" s="81"/>
      <c r="O28" s="81"/>
      <c r="P28" s="81"/>
      <c r="Q28" s="141"/>
      <c r="R28" s="91"/>
      <c r="S28" s="91"/>
      <c r="T28" s="91"/>
      <c r="U28" s="91"/>
      <c r="V28" s="91"/>
      <c r="W28" s="91"/>
      <c r="X28" s="141"/>
      <c r="Y28" s="141"/>
      <c r="Z28" s="185"/>
      <c r="AA28" s="91"/>
      <c r="AB28" s="91"/>
      <c r="AC28" s="91"/>
      <c r="AD28" s="91"/>
      <c r="AE28" s="141"/>
      <c r="AF28" s="185"/>
      <c r="AG28" s="92"/>
    </row>
    <row r="29" spans="1:33" x14ac:dyDescent="0.25">
      <c r="A29" s="80"/>
      <c r="B29" s="184"/>
      <c r="C29" s="80"/>
      <c r="D29" s="80"/>
      <c r="E29" s="187"/>
      <c r="F29" s="90"/>
      <c r="G29" s="81"/>
      <c r="H29" s="81"/>
      <c r="I29" s="81"/>
      <c r="J29" s="81"/>
      <c r="K29" s="82"/>
      <c r="L29" s="82"/>
      <c r="M29" s="81"/>
      <c r="N29" s="81"/>
      <c r="O29" s="81"/>
      <c r="P29" s="81"/>
      <c r="Q29" s="141"/>
      <c r="R29" s="91"/>
      <c r="S29" s="91"/>
      <c r="T29" s="91"/>
      <c r="U29" s="91"/>
      <c r="V29" s="91"/>
      <c r="W29" s="91"/>
      <c r="X29" s="141"/>
      <c r="Y29" s="141"/>
      <c r="Z29" s="185"/>
      <c r="AA29" s="91"/>
      <c r="AB29" s="91"/>
      <c r="AC29" s="91"/>
      <c r="AD29" s="91"/>
      <c r="AE29" s="141"/>
      <c r="AF29" s="185"/>
      <c r="AG29" s="92"/>
    </row>
    <row r="30" spans="1:33" x14ac:dyDescent="0.25">
      <c r="A30" s="80"/>
      <c r="B30" s="184"/>
      <c r="C30" s="80"/>
      <c r="D30" s="80"/>
      <c r="E30" s="187"/>
      <c r="F30" s="90"/>
      <c r="G30" s="81"/>
      <c r="H30" s="81"/>
      <c r="I30" s="81"/>
      <c r="J30" s="81"/>
      <c r="K30" s="82"/>
      <c r="L30" s="82"/>
      <c r="M30" s="81"/>
      <c r="N30" s="81"/>
      <c r="O30" s="81"/>
      <c r="P30" s="81"/>
      <c r="Q30" s="141"/>
      <c r="R30" s="91"/>
      <c r="S30" s="91"/>
      <c r="T30" s="91"/>
      <c r="U30" s="91"/>
      <c r="V30" s="91"/>
      <c r="W30" s="91"/>
      <c r="X30" s="141"/>
      <c r="Y30" s="141"/>
      <c r="Z30" s="185"/>
      <c r="AA30" s="91"/>
      <c r="AB30" s="91"/>
      <c r="AC30" s="91"/>
      <c r="AD30" s="91"/>
      <c r="AE30" s="141"/>
      <c r="AF30" s="185"/>
      <c r="AG30" s="92"/>
    </row>
    <row r="31" spans="1:33" x14ac:dyDescent="0.25">
      <c r="A31" s="80"/>
      <c r="B31" s="184"/>
      <c r="C31" s="80"/>
      <c r="D31" s="80"/>
      <c r="E31" s="187"/>
      <c r="F31" s="90"/>
      <c r="G31" s="81"/>
      <c r="H31" s="81"/>
      <c r="I31" s="81"/>
      <c r="J31" s="81"/>
      <c r="K31" s="82"/>
      <c r="L31" s="82"/>
      <c r="M31" s="81"/>
      <c r="N31" s="81"/>
      <c r="O31" s="81"/>
      <c r="P31" s="81"/>
      <c r="Q31" s="141"/>
      <c r="R31" s="91"/>
      <c r="S31" s="91"/>
      <c r="T31" s="91"/>
      <c r="U31" s="91"/>
      <c r="V31" s="91"/>
      <c r="W31" s="91"/>
      <c r="X31" s="141"/>
      <c r="Y31" s="141"/>
      <c r="Z31" s="185"/>
      <c r="AA31" s="91"/>
      <c r="AB31" s="91"/>
      <c r="AC31" s="91"/>
      <c r="AD31" s="91"/>
      <c r="AE31" s="141"/>
      <c r="AF31" s="185"/>
      <c r="AG31" s="92"/>
    </row>
    <row r="32" spans="1:33" x14ac:dyDescent="0.25">
      <c r="A32" s="80"/>
      <c r="B32" s="184"/>
      <c r="C32" s="80"/>
      <c r="D32" s="80"/>
      <c r="E32" s="187"/>
      <c r="F32" s="90"/>
      <c r="G32" s="81"/>
      <c r="H32" s="81"/>
      <c r="I32" s="81"/>
      <c r="J32" s="81"/>
      <c r="K32" s="82"/>
      <c r="L32" s="82"/>
      <c r="M32" s="81"/>
      <c r="N32" s="81"/>
      <c r="O32" s="81"/>
      <c r="P32" s="81"/>
      <c r="Q32" s="141"/>
      <c r="R32" s="91"/>
      <c r="S32" s="91"/>
      <c r="T32" s="91"/>
      <c r="U32" s="91"/>
      <c r="V32" s="91"/>
      <c r="W32" s="91"/>
      <c r="X32" s="141"/>
      <c r="Y32" s="141"/>
      <c r="Z32" s="185"/>
      <c r="AA32" s="91"/>
      <c r="AB32" s="91"/>
      <c r="AC32" s="91"/>
      <c r="AD32" s="91"/>
      <c r="AE32" s="141"/>
      <c r="AF32" s="185"/>
      <c r="AG32" s="91"/>
    </row>
    <row r="33" spans="1:33" x14ac:dyDescent="0.25">
      <c r="A33" s="80"/>
      <c r="B33" s="184"/>
      <c r="C33" s="80"/>
      <c r="D33" s="80"/>
      <c r="E33" s="187"/>
      <c r="F33" s="90"/>
      <c r="G33" s="81"/>
      <c r="H33" s="81"/>
      <c r="I33" s="81"/>
      <c r="J33" s="81"/>
      <c r="K33" s="82"/>
      <c r="L33" s="82"/>
      <c r="M33" s="81"/>
      <c r="N33" s="81"/>
      <c r="O33" s="81"/>
      <c r="P33" s="81"/>
      <c r="Q33" s="141"/>
      <c r="R33" s="91"/>
      <c r="S33" s="91"/>
      <c r="T33" s="91"/>
      <c r="U33" s="91"/>
      <c r="V33" s="91"/>
      <c r="W33" s="91"/>
      <c r="X33" s="141"/>
      <c r="Y33" s="141"/>
      <c r="Z33" s="185"/>
      <c r="AA33" s="91"/>
      <c r="AB33" s="91"/>
      <c r="AC33" s="91"/>
      <c r="AD33" s="91"/>
      <c r="AE33" s="141"/>
      <c r="AF33" s="185"/>
      <c r="AG33" s="91"/>
    </row>
    <row r="34" spans="1:33" x14ac:dyDescent="0.25">
      <c r="A34" s="80"/>
      <c r="B34" s="184"/>
      <c r="C34" s="80"/>
      <c r="D34" s="80"/>
      <c r="E34" s="187"/>
      <c r="F34" s="90"/>
      <c r="G34" s="81"/>
      <c r="H34" s="81"/>
      <c r="I34" s="81"/>
      <c r="J34" s="81"/>
      <c r="K34" s="82"/>
      <c r="L34" s="82"/>
      <c r="M34" s="81"/>
      <c r="N34" s="81"/>
      <c r="O34" s="81"/>
      <c r="P34" s="81"/>
      <c r="Q34" s="141"/>
      <c r="R34" s="91"/>
      <c r="S34" s="91"/>
      <c r="T34" s="91"/>
      <c r="U34" s="91"/>
      <c r="V34" s="91"/>
      <c r="W34" s="91"/>
      <c r="X34" s="141"/>
      <c r="Y34" s="141"/>
      <c r="Z34" s="185"/>
      <c r="AA34" s="91"/>
      <c r="AB34" s="91"/>
      <c r="AC34" s="91"/>
      <c r="AD34" s="91"/>
      <c r="AE34" s="141"/>
      <c r="AF34" s="185"/>
      <c r="AG34" s="91"/>
    </row>
    <row r="35" spans="1:33" x14ac:dyDescent="0.25">
      <c r="A35" s="80"/>
      <c r="B35" s="184"/>
      <c r="C35" s="80"/>
      <c r="D35" s="80"/>
      <c r="E35" s="187"/>
      <c r="F35" s="90"/>
      <c r="G35" s="81"/>
      <c r="H35" s="81"/>
      <c r="I35" s="81"/>
      <c r="J35" s="81"/>
      <c r="K35" s="82"/>
      <c r="L35" s="82"/>
      <c r="M35" s="81"/>
      <c r="N35" s="81"/>
      <c r="O35" s="81"/>
      <c r="P35" s="81"/>
      <c r="Q35" s="141"/>
      <c r="R35" s="91"/>
      <c r="S35" s="91"/>
      <c r="T35" s="91"/>
      <c r="U35" s="91"/>
      <c r="V35" s="91"/>
      <c r="W35" s="91"/>
      <c r="X35" s="141"/>
      <c r="Y35" s="141"/>
      <c r="Z35" s="185"/>
      <c r="AA35" s="91"/>
      <c r="AB35" s="91"/>
      <c r="AC35" s="91"/>
      <c r="AD35" s="91"/>
      <c r="AE35" s="141"/>
      <c r="AF35" s="185"/>
      <c r="AG35" s="91"/>
    </row>
    <row r="36" spans="1:33" x14ac:dyDescent="0.25">
      <c r="A36" s="80"/>
      <c r="B36" s="80"/>
      <c r="C36" s="80"/>
      <c r="D36" s="80"/>
      <c r="E36" s="187"/>
      <c r="F36" s="90"/>
      <c r="G36" s="81"/>
      <c r="H36" s="81"/>
      <c r="I36" s="81"/>
      <c r="J36" s="81"/>
      <c r="K36" s="82"/>
      <c r="L36" s="82"/>
      <c r="M36" s="81"/>
      <c r="N36" s="81"/>
      <c r="O36" s="81"/>
      <c r="P36" s="81"/>
      <c r="Q36" s="141"/>
      <c r="R36" s="91"/>
      <c r="S36" s="91"/>
      <c r="T36" s="91"/>
      <c r="U36" s="91"/>
      <c r="V36" s="91"/>
      <c r="W36" s="91"/>
      <c r="X36" s="141"/>
      <c r="Y36" s="141"/>
      <c r="Z36" s="185"/>
      <c r="AA36" s="91"/>
      <c r="AB36" s="91"/>
      <c r="AC36" s="91"/>
      <c r="AD36" s="91"/>
      <c r="AE36" s="141"/>
      <c r="AF36" s="185"/>
      <c r="AG36" s="91"/>
    </row>
    <row r="37" spans="1:33" x14ac:dyDescent="0.25">
      <c r="A37" s="80"/>
      <c r="B37" s="80"/>
      <c r="C37" s="80"/>
      <c r="D37" s="80"/>
      <c r="E37" s="187"/>
      <c r="F37" s="90"/>
      <c r="G37" s="81"/>
      <c r="H37" s="81"/>
      <c r="I37" s="81"/>
      <c r="J37" s="81"/>
      <c r="K37" s="82"/>
      <c r="L37" s="82"/>
      <c r="M37" s="81"/>
      <c r="N37" s="81"/>
      <c r="O37" s="81"/>
      <c r="P37" s="81"/>
      <c r="Q37" s="141"/>
      <c r="R37" s="91"/>
      <c r="S37" s="91"/>
      <c r="T37" s="91"/>
      <c r="U37" s="91"/>
      <c r="V37" s="91"/>
      <c r="W37" s="91"/>
      <c r="X37" s="141"/>
      <c r="Y37" s="141"/>
      <c r="Z37" s="185"/>
      <c r="AA37" s="91"/>
      <c r="AB37" s="91"/>
      <c r="AC37" s="91"/>
      <c r="AD37" s="91"/>
      <c r="AE37" s="141"/>
      <c r="AF37" s="185"/>
      <c r="AG37" s="91"/>
    </row>
    <row r="38" spans="1:33" x14ac:dyDescent="0.25">
      <c r="A38" s="80"/>
      <c r="B38" s="80"/>
      <c r="C38" s="80"/>
      <c r="D38" s="80"/>
      <c r="E38" s="187"/>
      <c r="F38" s="90"/>
      <c r="G38" s="81"/>
      <c r="H38" s="81"/>
      <c r="I38" s="81"/>
      <c r="J38" s="81"/>
      <c r="K38" s="82"/>
      <c r="L38" s="82"/>
      <c r="M38" s="81"/>
      <c r="N38" s="81"/>
      <c r="O38" s="81"/>
      <c r="P38" s="81"/>
      <c r="Q38" s="141"/>
      <c r="R38" s="91"/>
      <c r="S38" s="91"/>
      <c r="T38" s="91"/>
      <c r="U38" s="91"/>
      <c r="V38" s="91"/>
      <c r="W38" s="91"/>
      <c r="X38" s="141"/>
      <c r="Y38" s="141"/>
      <c r="Z38" s="185"/>
      <c r="AA38" s="91"/>
      <c r="AB38" s="91"/>
      <c r="AC38" s="91"/>
      <c r="AD38" s="91"/>
      <c r="AE38" s="141"/>
      <c r="AF38" s="185"/>
      <c r="AG38" s="91"/>
    </row>
    <row r="39" spans="1:33" x14ac:dyDescent="0.25">
      <c r="A39" s="80"/>
      <c r="B39" s="80"/>
      <c r="C39" s="80"/>
      <c r="D39" s="80"/>
      <c r="E39" s="187"/>
      <c r="F39" s="90"/>
      <c r="G39" s="81"/>
      <c r="H39" s="81"/>
      <c r="I39" s="81"/>
      <c r="J39" s="81"/>
      <c r="K39" s="82"/>
      <c r="L39" s="82"/>
      <c r="M39" s="81"/>
      <c r="N39" s="81"/>
      <c r="O39" s="81"/>
      <c r="P39" s="81"/>
      <c r="Q39" s="141"/>
      <c r="R39" s="91"/>
      <c r="S39" s="91"/>
      <c r="T39" s="91"/>
      <c r="U39" s="91"/>
      <c r="V39" s="91"/>
      <c r="W39" s="91"/>
      <c r="X39" s="141"/>
      <c r="Y39" s="141"/>
      <c r="Z39" s="185"/>
      <c r="AA39" s="91"/>
      <c r="AB39" s="91"/>
      <c r="AC39" s="91"/>
      <c r="AD39" s="91"/>
      <c r="AE39" s="141"/>
      <c r="AF39" s="185"/>
      <c r="AG39" s="91"/>
    </row>
    <row r="40" spans="1:33" x14ac:dyDescent="0.25">
      <c r="A40" s="80"/>
      <c r="B40" s="80"/>
      <c r="C40" s="80"/>
      <c r="D40" s="80"/>
      <c r="E40" s="187"/>
      <c r="F40" s="90"/>
      <c r="G40" s="81"/>
      <c r="H40" s="81"/>
      <c r="I40" s="81"/>
      <c r="J40" s="81"/>
      <c r="K40" s="82"/>
      <c r="L40" s="82"/>
      <c r="M40" s="81"/>
      <c r="N40" s="81"/>
      <c r="O40" s="81"/>
      <c r="P40" s="81"/>
      <c r="Q40" s="141"/>
      <c r="R40" s="91"/>
      <c r="S40" s="91"/>
      <c r="T40" s="91"/>
      <c r="U40" s="91"/>
      <c r="V40" s="91"/>
      <c r="W40" s="91"/>
      <c r="X40" s="141"/>
      <c r="Y40" s="141"/>
      <c r="Z40" s="185"/>
      <c r="AA40" s="91"/>
      <c r="AB40" s="91"/>
      <c r="AC40" s="91"/>
      <c r="AD40" s="91"/>
      <c r="AE40" s="141"/>
      <c r="AF40" s="185"/>
      <c r="AG40" s="91"/>
    </row>
    <row r="41" spans="1:33" x14ac:dyDescent="0.25">
      <c r="A41" s="80"/>
      <c r="B41" s="80"/>
      <c r="C41" s="80"/>
      <c r="D41" s="80"/>
      <c r="E41" s="187"/>
      <c r="F41" s="90"/>
      <c r="G41" s="81"/>
      <c r="H41" s="81"/>
      <c r="I41" s="81"/>
      <c r="J41" s="81"/>
      <c r="K41" s="82"/>
      <c r="L41" s="82"/>
      <c r="M41" s="81"/>
      <c r="N41" s="81"/>
      <c r="O41" s="81"/>
      <c r="P41" s="81"/>
      <c r="Q41" s="141"/>
      <c r="R41" s="91"/>
      <c r="S41" s="91"/>
      <c r="T41" s="91"/>
      <c r="U41" s="91"/>
      <c r="V41" s="91"/>
      <c r="W41" s="91"/>
      <c r="X41" s="141"/>
      <c r="Y41" s="141"/>
      <c r="Z41" s="185"/>
      <c r="AA41" s="91"/>
      <c r="AB41" s="91"/>
      <c r="AC41" s="91"/>
      <c r="AD41" s="91"/>
      <c r="AE41" s="141"/>
      <c r="AF41" s="185"/>
      <c r="AG41" s="91"/>
    </row>
    <row r="42" spans="1:33" x14ac:dyDescent="0.25">
      <c r="A42" s="80"/>
      <c r="B42" s="80"/>
      <c r="C42" s="80"/>
      <c r="D42" s="80"/>
      <c r="E42" s="81"/>
      <c r="F42" s="90"/>
      <c r="G42" s="81"/>
      <c r="H42" s="81"/>
      <c r="I42" s="81"/>
      <c r="J42" s="81"/>
      <c r="K42" s="82"/>
      <c r="L42" s="82"/>
      <c r="M42" s="81"/>
      <c r="N42" s="81"/>
      <c r="O42" s="81"/>
      <c r="P42" s="81"/>
      <c r="Q42" s="141"/>
      <c r="R42" s="91"/>
      <c r="S42" s="91"/>
      <c r="T42" s="91"/>
      <c r="U42" s="91"/>
      <c r="V42" s="91"/>
      <c r="W42" s="91"/>
      <c r="X42" s="141"/>
      <c r="Y42" s="141"/>
      <c r="Z42" s="185"/>
      <c r="AA42" s="91"/>
      <c r="AB42" s="91"/>
      <c r="AC42" s="91"/>
      <c r="AD42" s="91"/>
      <c r="AE42" s="141"/>
      <c r="AF42" s="185"/>
      <c r="AG42" s="91"/>
    </row>
    <row r="43" spans="1:33" x14ac:dyDescent="0.25">
      <c r="A43" s="80"/>
      <c r="B43" s="80"/>
      <c r="C43" s="80"/>
      <c r="D43" s="80"/>
      <c r="E43" s="81"/>
      <c r="F43" s="90"/>
      <c r="G43" s="81"/>
      <c r="H43" s="81"/>
      <c r="I43" s="81"/>
      <c r="J43" s="81"/>
      <c r="K43" s="82"/>
      <c r="L43" s="82"/>
      <c r="M43" s="81"/>
      <c r="N43" s="81"/>
      <c r="O43" s="81"/>
      <c r="P43" s="81"/>
      <c r="Q43" s="141"/>
      <c r="R43" s="91"/>
      <c r="S43" s="91"/>
      <c r="T43" s="91"/>
      <c r="U43" s="91"/>
      <c r="V43" s="91"/>
      <c r="W43" s="91"/>
      <c r="X43" s="141"/>
      <c r="Y43" s="141"/>
      <c r="Z43" s="185"/>
      <c r="AA43" s="91"/>
      <c r="AB43" s="91"/>
      <c r="AC43" s="91"/>
      <c r="AD43" s="91"/>
      <c r="AE43" s="141"/>
      <c r="AF43" s="185"/>
      <c r="AG43" s="91"/>
    </row>
    <row r="44" spans="1:33" x14ac:dyDescent="0.25">
      <c r="A44" s="80"/>
      <c r="B44" s="80"/>
      <c r="C44" s="80"/>
      <c r="D44" s="80"/>
      <c r="E44" s="81"/>
      <c r="F44" s="90"/>
      <c r="G44" s="81"/>
      <c r="H44" s="81"/>
      <c r="I44" s="81"/>
      <c r="J44" s="81"/>
      <c r="K44" s="82"/>
      <c r="L44" s="82"/>
      <c r="M44" s="81"/>
      <c r="N44" s="81"/>
      <c r="O44" s="81"/>
      <c r="P44" s="81"/>
      <c r="Q44" s="141"/>
      <c r="R44" s="91"/>
      <c r="S44" s="91"/>
      <c r="T44" s="91"/>
      <c r="U44" s="91"/>
      <c r="V44" s="91"/>
      <c r="W44" s="91"/>
      <c r="X44" s="141"/>
      <c r="Y44" s="141"/>
      <c r="Z44" s="185"/>
      <c r="AA44" s="91"/>
      <c r="AB44" s="91"/>
      <c r="AC44" s="91"/>
      <c r="AD44" s="91"/>
      <c r="AE44" s="141"/>
      <c r="AF44" s="185"/>
      <c r="AG44" s="91"/>
    </row>
    <row r="45" spans="1:33" x14ac:dyDescent="0.25">
      <c r="A45" s="80"/>
      <c r="B45" s="80"/>
      <c r="C45" s="80"/>
      <c r="D45" s="80"/>
      <c r="E45" s="81"/>
      <c r="F45" s="90"/>
      <c r="G45" s="81"/>
      <c r="H45" s="81"/>
      <c r="I45" s="81"/>
      <c r="J45" s="81"/>
      <c r="K45" s="82"/>
      <c r="L45" s="82"/>
      <c r="M45" s="81"/>
      <c r="N45" s="81"/>
      <c r="O45" s="81"/>
      <c r="P45" s="81"/>
      <c r="Q45" s="141"/>
      <c r="R45" s="91"/>
      <c r="S45" s="91"/>
      <c r="T45" s="91"/>
      <c r="U45" s="91"/>
      <c r="V45" s="91"/>
      <c r="W45" s="91"/>
      <c r="X45" s="141"/>
      <c r="Y45" s="141"/>
      <c r="Z45" s="185"/>
      <c r="AA45" s="91"/>
      <c r="AB45" s="91"/>
      <c r="AC45" s="91"/>
      <c r="AD45" s="91"/>
      <c r="AE45" s="141"/>
      <c r="AF45" s="185"/>
      <c r="AG45" s="91"/>
    </row>
    <row r="46" spans="1:33" x14ac:dyDescent="0.25">
      <c r="A46" s="80"/>
      <c r="B46" s="80"/>
      <c r="C46" s="80"/>
      <c r="D46" s="80"/>
      <c r="E46" s="81"/>
      <c r="F46" s="90"/>
      <c r="G46" s="81"/>
      <c r="H46" s="81"/>
      <c r="I46" s="81"/>
      <c r="J46" s="81"/>
      <c r="K46" s="82"/>
      <c r="L46" s="82"/>
      <c r="M46" s="81"/>
      <c r="N46" s="81"/>
      <c r="O46" s="81"/>
      <c r="P46" s="81"/>
      <c r="Q46" s="141"/>
      <c r="R46" s="91"/>
      <c r="S46" s="91"/>
      <c r="T46" s="91"/>
      <c r="U46" s="91"/>
      <c r="V46" s="91"/>
      <c r="W46" s="91"/>
      <c r="X46" s="141"/>
      <c r="Y46" s="141"/>
      <c r="Z46" s="185"/>
      <c r="AA46" s="91"/>
      <c r="AB46" s="91"/>
      <c r="AC46" s="91"/>
      <c r="AD46" s="91"/>
      <c r="AE46" s="141"/>
      <c r="AF46" s="185"/>
      <c r="AG46" s="91"/>
    </row>
    <row r="47" spans="1:33" x14ac:dyDescent="0.25">
      <c r="A47" s="80"/>
      <c r="B47" s="80"/>
      <c r="C47" s="80"/>
      <c r="D47" s="80"/>
      <c r="E47" s="81"/>
      <c r="F47" s="90"/>
      <c r="G47" s="81"/>
      <c r="H47" s="81"/>
      <c r="I47" s="81"/>
      <c r="J47" s="81"/>
      <c r="K47" s="82"/>
      <c r="L47" s="82"/>
      <c r="M47" s="81"/>
      <c r="N47" s="81"/>
      <c r="O47" s="81"/>
      <c r="P47" s="81"/>
      <c r="Q47" s="141"/>
      <c r="R47" s="91"/>
      <c r="S47" s="91"/>
      <c r="T47" s="91"/>
      <c r="U47" s="91"/>
      <c r="V47" s="91"/>
      <c r="W47" s="91"/>
      <c r="X47" s="141"/>
      <c r="Y47" s="141"/>
      <c r="Z47" s="185"/>
      <c r="AA47" s="91"/>
      <c r="AB47" s="91"/>
      <c r="AC47" s="91"/>
      <c r="AD47" s="91"/>
      <c r="AE47" s="141"/>
      <c r="AF47" s="185"/>
      <c r="AG47" s="91"/>
    </row>
    <row r="48" spans="1:33" x14ac:dyDescent="0.25">
      <c r="A48" s="65"/>
      <c r="B48" s="65"/>
      <c r="C48" s="65"/>
      <c r="D48" s="65"/>
      <c r="E48" s="43"/>
      <c r="F48" s="54"/>
      <c r="G48" s="43"/>
      <c r="H48" s="43"/>
      <c r="I48" s="43"/>
      <c r="J48" s="43"/>
      <c r="K48" s="55"/>
      <c r="L48" s="55"/>
      <c r="M48" s="43"/>
      <c r="N48" s="43"/>
      <c r="O48" s="43"/>
      <c r="P48" s="43"/>
      <c r="Q48" s="16"/>
      <c r="R48" s="9"/>
      <c r="S48" s="9"/>
      <c r="T48" s="9"/>
      <c r="U48" s="9"/>
      <c r="V48" s="9"/>
      <c r="W48" s="9"/>
      <c r="X48" s="16"/>
      <c r="Y48" s="16"/>
      <c r="Z48" s="16"/>
      <c r="AA48" s="9"/>
      <c r="AB48" s="9"/>
      <c r="AC48" s="9"/>
      <c r="AD48" s="9"/>
      <c r="AE48" s="16"/>
      <c r="AF48" s="16"/>
      <c r="AG48" s="9"/>
    </row>
    <row r="49" spans="1:33" x14ac:dyDescent="0.25">
      <c r="A49" s="65"/>
      <c r="B49" s="65"/>
      <c r="C49" s="65"/>
      <c r="D49" s="65"/>
      <c r="E49" s="43"/>
      <c r="F49" s="43"/>
      <c r="G49" s="43"/>
      <c r="H49" s="43"/>
      <c r="I49" s="43"/>
      <c r="J49" s="43"/>
      <c r="K49" s="55"/>
      <c r="L49" s="55"/>
      <c r="M49" s="43"/>
      <c r="N49" s="43"/>
      <c r="O49" s="43"/>
      <c r="P49" s="43"/>
      <c r="Q49" s="16"/>
      <c r="R49" s="9"/>
      <c r="S49" s="9"/>
      <c r="T49" s="9"/>
      <c r="U49" s="9"/>
      <c r="V49" s="9"/>
      <c r="W49" s="9"/>
      <c r="X49" s="16"/>
      <c r="Y49" s="16"/>
      <c r="Z49" s="16"/>
      <c r="AA49" s="9"/>
      <c r="AB49" s="9"/>
      <c r="AC49" s="9"/>
      <c r="AD49" s="9"/>
      <c r="AE49" s="16"/>
      <c r="AF49" s="16"/>
      <c r="AG49" s="9"/>
    </row>
    <row r="50" spans="1:33" x14ac:dyDescent="0.25">
      <c r="A50" s="65"/>
      <c r="B50" s="65"/>
      <c r="C50" s="65"/>
      <c r="D50" s="65"/>
      <c r="E50" s="43"/>
      <c r="F50" s="43"/>
      <c r="G50" s="43"/>
      <c r="H50" s="43"/>
      <c r="I50" s="43"/>
      <c r="J50" s="43"/>
      <c r="K50" s="55"/>
      <c r="L50" s="55"/>
      <c r="M50" s="43"/>
      <c r="N50" s="43"/>
      <c r="O50" s="43"/>
      <c r="P50" s="43"/>
      <c r="Q50" s="16"/>
      <c r="R50" s="9"/>
      <c r="S50" s="9"/>
      <c r="T50" s="9"/>
      <c r="U50" s="9"/>
      <c r="V50" s="9"/>
      <c r="W50" s="9"/>
      <c r="X50" s="16"/>
      <c r="Y50" s="16"/>
      <c r="Z50" s="16"/>
      <c r="AA50" s="9"/>
      <c r="AB50" s="9"/>
      <c r="AC50" s="9"/>
      <c r="AD50" s="9"/>
      <c r="AE50" s="16"/>
      <c r="AF50" s="16"/>
      <c r="AG50" s="9"/>
    </row>
    <row r="51" spans="1:33" x14ac:dyDescent="0.25">
      <c r="A51" s="65"/>
      <c r="B51" s="65"/>
      <c r="C51" s="65"/>
      <c r="D51" s="65"/>
      <c r="E51" s="43"/>
      <c r="F51" s="43"/>
      <c r="G51" s="43"/>
      <c r="H51" s="43"/>
      <c r="I51" s="43"/>
      <c r="J51" s="43"/>
      <c r="K51" s="55"/>
      <c r="L51" s="55"/>
      <c r="M51" s="43"/>
      <c r="N51" s="43"/>
      <c r="O51" s="43"/>
      <c r="P51" s="43"/>
      <c r="Q51" s="16"/>
      <c r="R51" s="9"/>
      <c r="S51" s="9"/>
      <c r="T51" s="9"/>
      <c r="U51" s="9"/>
      <c r="V51" s="9"/>
      <c r="W51" s="9"/>
      <c r="X51" s="16"/>
      <c r="Y51" s="16"/>
      <c r="Z51" s="16"/>
      <c r="AA51" s="9"/>
      <c r="AB51" s="9"/>
      <c r="AC51" s="9"/>
      <c r="AD51" s="9"/>
      <c r="AE51" s="16"/>
      <c r="AF51" s="16"/>
      <c r="AG51" s="9"/>
    </row>
    <row r="52" spans="1:33" x14ac:dyDescent="0.25">
      <c r="A52" s="65"/>
      <c r="B52" s="65"/>
      <c r="C52" s="65"/>
      <c r="D52" s="65"/>
      <c r="E52" s="43"/>
      <c r="F52" s="43"/>
      <c r="G52" s="43"/>
      <c r="H52" s="43"/>
      <c r="I52" s="43"/>
      <c r="J52" s="43"/>
      <c r="K52" s="55"/>
      <c r="L52" s="55"/>
      <c r="M52" s="43"/>
      <c r="N52" s="43"/>
      <c r="O52" s="43"/>
      <c r="P52" s="43"/>
      <c r="Q52" s="16"/>
      <c r="R52" s="9"/>
      <c r="S52" s="9"/>
      <c r="T52" s="9"/>
      <c r="U52" s="9"/>
      <c r="V52" s="9"/>
      <c r="W52" s="9"/>
      <c r="X52" s="16"/>
      <c r="Y52" s="16"/>
      <c r="Z52" s="16"/>
      <c r="AA52" s="9"/>
      <c r="AB52" s="9"/>
      <c r="AC52" s="9"/>
      <c r="AD52" s="9"/>
      <c r="AE52" s="16"/>
      <c r="AF52" s="16"/>
      <c r="AG52" s="9"/>
    </row>
    <row r="53" spans="1:33" x14ac:dyDescent="0.25">
      <c r="A53" s="65"/>
      <c r="B53" s="65"/>
      <c r="C53" s="65"/>
      <c r="D53" s="65"/>
      <c r="E53" s="43"/>
      <c r="F53" s="43"/>
      <c r="G53" s="43"/>
      <c r="H53" s="43"/>
      <c r="I53" s="43"/>
      <c r="J53" s="43"/>
      <c r="K53" s="55"/>
      <c r="L53" s="55"/>
      <c r="M53" s="43"/>
      <c r="N53" s="43"/>
      <c r="O53" s="43"/>
      <c r="P53" s="43"/>
      <c r="Q53" s="16"/>
      <c r="R53" s="9"/>
      <c r="S53" s="9"/>
      <c r="T53" s="9"/>
      <c r="U53" s="9"/>
      <c r="V53" s="9"/>
      <c r="W53" s="9"/>
      <c r="X53" s="16"/>
      <c r="Y53" s="16"/>
      <c r="Z53" s="16"/>
      <c r="AA53" s="9"/>
      <c r="AB53" s="9"/>
      <c r="AC53" s="9"/>
      <c r="AD53" s="9"/>
      <c r="AE53" s="16"/>
      <c r="AF53" s="16"/>
      <c r="AG53" s="9"/>
    </row>
    <row r="54" spans="1:33" x14ac:dyDescent="0.25">
      <c r="A54" s="65"/>
      <c r="B54" s="65"/>
      <c r="C54" s="65"/>
      <c r="D54" s="65"/>
      <c r="E54" s="43"/>
      <c r="F54" s="43"/>
      <c r="G54" s="43"/>
      <c r="H54" s="43"/>
      <c r="I54" s="43"/>
      <c r="J54" s="43"/>
      <c r="K54" s="55"/>
      <c r="L54" s="55"/>
      <c r="M54" s="43"/>
      <c r="N54" s="43"/>
      <c r="O54" s="43"/>
      <c r="P54" s="43"/>
      <c r="Q54" s="16"/>
      <c r="R54" s="9"/>
      <c r="S54" s="9"/>
      <c r="T54" s="9"/>
      <c r="U54" s="9"/>
      <c r="V54" s="9"/>
      <c r="W54" s="9"/>
      <c r="X54" s="16"/>
      <c r="Y54" s="16"/>
      <c r="Z54" s="16"/>
      <c r="AA54" s="9"/>
      <c r="AB54" s="9"/>
      <c r="AC54" s="9"/>
      <c r="AD54" s="9"/>
      <c r="AE54" s="16"/>
      <c r="AF54" s="16"/>
      <c r="AG54" s="9"/>
    </row>
    <row r="55" spans="1:33" x14ac:dyDescent="0.25">
      <c r="A55" s="65"/>
      <c r="B55" s="65"/>
      <c r="C55" s="65"/>
      <c r="D55" s="65"/>
      <c r="E55" s="43"/>
    </row>
  </sheetData>
  <sheetProtection selectLockedCells="1" selectUnlockedCells="1"/>
  <mergeCells count="2">
    <mergeCell ref="A1:B1"/>
    <mergeCell ref="C1:AG1"/>
  </mergeCells>
  <pageMargins left="0.511811024" right="0.511811024" top="0.78740157499999996" bottom="0.78740157499999996" header="0.31496062000000002" footer="0.31496062000000002"/>
  <pageSetup paperSize="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4"/>
  <sheetViews>
    <sheetView topLeftCell="H1" workbookViewId="0">
      <pane ySplit="1" topLeftCell="A2" activePane="bottomLeft" state="frozen"/>
      <selection pane="bottomLeft" activeCell="K3" sqref="K3"/>
    </sheetView>
  </sheetViews>
  <sheetFormatPr defaultRowHeight="15" x14ac:dyDescent="0.25"/>
  <cols>
    <col min="1" max="1" width="2.5703125" customWidth="1"/>
    <col min="2" max="2" width="12.42578125" customWidth="1"/>
    <col min="3" max="3" width="13.85546875" customWidth="1"/>
    <col min="4" max="4" width="13.5703125" customWidth="1"/>
    <col min="5" max="5" width="15.42578125" customWidth="1"/>
    <col min="6" max="6" width="13" customWidth="1"/>
    <col min="7" max="7" width="26.42578125" customWidth="1"/>
    <col min="8" max="8" width="17.42578125" customWidth="1"/>
    <col min="9" max="9" width="12.28515625" customWidth="1"/>
    <col min="10" max="10" width="11.42578125" customWidth="1"/>
    <col min="11" max="11" width="15.5703125" customWidth="1"/>
    <col min="12" max="12" width="12.140625" customWidth="1"/>
    <col min="13" max="13" width="13.5703125" customWidth="1"/>
    <col min="14" max="14" width="12.140625" customWidth="1"/>
    <col min="15" max="15" width="12.42578125" customWidth="1"/>
    <col min="16" max="16" width="13.85546875" customWidth="1"/>
    <col min="17" max="17" width="11.42578125" bestFit="1" customWidth="1"/>
    <col min="18" max="18" width="14.28515625" customWidth="1"/>
  </cols>
  <sheetData>
    <row r="1" spans="1:18" ht="60" customHeight="1" x14ac:dyDescent="0.25">
      <c r="A1" s="327" t="s">
        <v>20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7"/>
      <c r="N1" s="327"/>
      <c r="O1" s="327"/>
      <c r="P1" s="327"/>
      <c r="Q1" s="327"/>
      <c r="R1" s="327"/>
    </row>
    <row r="2" spans="1:18" ht="37.5" x14ac:dyDescent="0.3">
      <c r="B2" s="5" t="str">
        <f>Lançamentos!O3</f>
        <v>Aprovado</v>
      </c>
      <c r="C2" s="5" t="str">
        <f>Lançamentos!P3</f>
        <v>Reprovado</v>
      </c>
      <c r="D2" s="4" t="str">
        <f>Lançamentos!R3</f>
        <v>Usinagem</v>
      </c>
      <c r="E2" s="4" t="str">
        <f>Lançamentos!S3</f>
        <v>Inspeção</v>
      </c>
      <c r="F2" s="4" t="str">
        <f>Lançamentos!T3</f>
        <v>Desenho</v>
      </c>
      <c r="G2" s="4" t="str">
        <f>Lançamentos!U3</f>
        <v>Programação CNC</v>
      </c>
      <c r="H2" s="4" t="str">
        <f>Lançamentos!V3</f>
        <v>Produção</v>
      </c>
      <c r="I2" s="4" t="str">
        <f>Lançamentos!W3</f>
        <v>Comercial</v>
      </c>
      <c r="J2" s="4" t="str">
        <f>Lançamentos!X3</f>
        <v>PCP</v>
      </c>
      <c r="K2" s="214" t="str">
        <f>Lançamentos!Z3</f>
        <v>Retrabalho</v>
      </c>
      <c r="L2" s="214" t="str">
        <f>Lançamentos!AB3</f>
        <v>Morta usin.</v>
      </c>
      <c r="M2" s="213" t="str">
        <f>Lançamentos!Y3</f>
        <v>RETRABALHO OUTROS DP</v>
      </c>
      <c r="N2" s="2" t="str">
        <f>Lançamentos!AA3</f>
        <v>Morta outros</v>
      </c>
      <c r="O2" s="2" t="str">
        <f>B2</f>
        <v>Aprovado</v>
      </c>
      <c r="P2" s="2" t="str">
        <f>C2</f>
        <v>Reprovado</v>
      </c>
      <c r="Q2" s="215" t="s">
        <v>87</v>
      </c>
      <c r="R2" s="215" t="s">
        <v>88</v>
      </c>
    </row>
    <row r="3" spans="1:18" ht="18.75" x14ac:dyDescent="0.3">
      <c r="B3" s="5">
        <f>Lançamentos!O299</f>
        <v>578</v>
      </c>
      <c r="C3" s="5">
        <f>Lançamentos!P299</f>
        <v>10</v>
      </c>
      <c r="D3" s="4">
        <f>Lançamentos!R299</f>
        <v>10</v>
      </c>
      <c r="E3" s="4">
        <f>Lançamentos!S299</f>
        <v>0</v>
      </c>
      <c r="F3" s="4">
        <f>Lançamentos!T299</f>
        <v>0</v>
      </c>
      <c r="G3" s="4">
        <f>Lançamentos!U299</f>
        <v>0</v>
      </c>
      <c r="H3" s="4">
        <f>Lançamentos!V299</f>
        <v>0</v>
      </c>
      <c r="I3" s="4">
        <f>Lançamentos!W299</f>
        <v>0</v>
      </c>
      <c r="J3" s="4">
        <f>Lançamentos!X299</f>
        <v>0</v>
      </c>
      <c r="K3" s="2">
        <f>Lançamentos!Z299</f>
        <v>6</v>
      </c>
      <c r="L3" s="2">
        <f>Lançamentos!AB299</f>
        <v>4</v>
      </c>
      <c r="M3" s="2">
        <f>Lançamentos!Y299</f>
        <v>0</v>
      </c>
      <c r="N3" s="2">
        <f>Lançamentos!AA299</f>
        <v>0</v>
      </c>
      <c r="O3" s="2">
        <f>B3</f>
        <v>578</v>
      </c>
      <c r="P3" s="2">
        <f>C3</f>
        <v>10</v>
      </c>
      <c r="Q3" s="3">
        <f>SUM(L3+N3)</f>
        <v>4</v>
      </c>
      <c r="R3" s="3">
        <f>SUM(K3+M3)</f>
        <v>6</v>
      </c>
    </row>
    <row r="4" spans="1:18" x14ac:dyDescent="0.25">
      <c r="B4" s="1"/>
      <c r="C4" s="1"/>
    </row>
    <row r="5" spans="1:18" x14ac:dyDescent="0.25">
      <c r="B5" s="1"/>
      <c r="C5" s="1"/>
    </row>
    <row r="22" spans="2:18" x14ac:dyDescent="0.25"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8" t="s">
        <v>30</v>
      </c>
      <c r="R22" s="7"/>
    </row>
    <row r="23" spans="2:18" x14ac:dyDescent="0.25">
      <c r="B23" s="6" t="e">
        <f>'PRODUTOS DE REFUGO'!#REF!</f>
        <v>#REF!</v>
      </c>
      <c r="C23" s="6" t="e">
        <f>'PRODUTOS DE REFUGO'!#REF!</f>
        <v>#REF!</v>
      </c>
      <c r="D23" s="6" t="e">
        <f>'PRODUTOS DE REFUGO'!#REF!</f>
        <v>#REF!</v>
      </c>
      <c r="F23" s="7"/>
      <c r="G23" t="s">
        <v>26</v>
      </c>
      <c r="I23" t="s">
        <v>29</v>
      </c>
      <c r="K23" s="7"/>
      <c r="L23" t="s">
        <v>28</v>
      </c>
      <c r="P23" s="7"/>
      <c r="Q23" s="15">
        <f>F32</f>
        <v>0.98299319727891155</v>
      </c>
    </row>
    <row r="24" spans="2:18" x14ac:dyDescent="0.25">
      <c r="B24" s="6" t="e">
        <f>'PRODUTOS DE REFUGO'!#REF!</f>
        <v>#REF!</v>
      </c>
      <c r="C24" s="6" t="e">
        <f>'PRODUTOS DE REFUGO'!#REF!</f>
        <v>#REF!</v>
      </c>
      <c r="D24" s="6" t="e">
        <f>'PRODUTOS DE REFUGO'!#REF!</f>
        <v>#REF!</v>
      </c>
      <c r="F24" s="7"/>
      <c r="G24">
        <f>Lançamentos!N299</f>
        <v>588</v>
      </c>
      <c r="K24" s="7"/>
      <c r="L24" t="s">
        <v>40</v>
      </c>
      <c r="P24" s="7"/>
      <c r="Q24" s="15">
        <f>F41</f>
        <v>6.8027210884353739E-3</v>
      </c>
    </row>
    <row r="25" spans="2:18" x14ac:dyDescent="0.25">
      <c r="F25" s="7"/>
      <c r="K25" s="7"/>
      <c r="L25" t="s">
        <v>41</v>
      </c>
      <c r="P25" s="7"/>
      <c r="Q25" s="15">
        <f>F36</f>
        <v>1.020408163265306E-2</v>
      </c>
    </row>
    <row r="26" spans="2:18" x14ac:dyDescent="0.25">
      <c r="F26" s="7"/>
      <c r="K26" s="7"/>
      <c r="L26" t="s">
        <v>39</v>
      </c>
      <c r="P26" s="7"/>
      <c r="Q26" s="15">
        <f>F44</f>
        <v>0.99319727891156462</v>
      </c>
    </row>
    <row r="27" spans="2:18" x14ac:dyDescent="0.25">
      <c r="F27" s="7"/>
      <c r="K27" s="7"/>
      <c r="P27" s="7"/>
    </row>
    <row r="28" spans="2:18" x14ac:dyDescent="0.25">
      <c r="F28" s="7"/>
      <c r="K28" s="7"/>
      <c r="P28" s="7"/>
    </row>
    <row r="29" spans="2:18" x14ac:dyDescent="0.25"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</row>
    <row r="30" spans="2:18" ht="15.75" thickBot="1" x14ac:dyDescent="0.3"/>
    <row r="31" spans="2:18" x14ac:dyDescent="0.25">
      <c r="B31" s="328"/>
      <c r="C31" s="328"/>
      <c r="F31" s="325" t="s">
        <v>35</v>
      </c>
      <c r="G31" s="326"/>
    </row>
    <row r="32" spans="2:18" ht="15.75" thickBot="1" x14ac:dyDescent="0.3">
      <c r="F32" s="30">
        <f>O3/Lançamentos!N299</f>
        <v>0.98299319727891155</v>
      </c>
      <c r="G32" s="14"/>
    </row>
    <row r="34" spans="2:7" ht="15.75" thickBot="1" x14ac:dyDescent="0.3"/>
    <row r="35" spans="2:7" ht="15.75" thickBot="1" x14ac:dyDescent="0.3">
      <c r="F35" s="329" t="s">
        <v>36</v>
      </c>
      <c r="G35" s="330"/>
    </row>
    <row r="36" spans="2:7" ht="15.75" thickBot="1" x14ac:dyDescent="0.3">
      <c r="F36" s="30">
        <f>R3/Lançamentos!N299</f>
        <v>1.020408163265306E-2</v>
      </c>
      <c r="G36" s="14"/>
    </row>
    <row r="39" spans="2:7" ht="15.75" thickBot="1" x14ac:dyDescent="0.3"/>
    <row r="40" spans="2:7" x14ac:dyDescent="0.25">
      <c r="B40" s="328"/>
      <c r="C40" s="328"/>
      <c r="F40" s="325" t="s">
        <v>37</v>
      </c>
      <c r="G40" s="326"/>
    </row>
    <row r="41" spans="2:7" ht="15.75" thickBot="1" x14ac:dyDescent="0.3">
      <c r="F41" s="30">
        <f>Q3/Lançamentos!N299</f>
        <v>6.8027210884353739E-3</v>
      </c>
      <c r="G41" s="14"/>
    </row>
    <row r="42" spans="2:7" ht="15.75" thickBot="1" x14ac:dyDescent="0.3"/>
    <row r="43" spans="2:7" x14ac:dyDescent="0.25">
      <c r="F43" s="325" t="s">
        <v>38</v>
      </c>
      <c r="G43" s="326"/>
    </row>
    <row r="44" spans="2:7" ht="15.75" thickBot="1" x14ac:dyDescent="0.3">
      <c r="F44" s="30">
        <f>SUM(F36+F32)</f>
        <v>0.99319727891156462</v>
      </c>
      <c r="G44" s="14"/>
    </row>
  </sheetData>
  <sheetProtection selectLockedCells="1" selectUnlockedCells="1"/>
  <mergeCells count="7">
    <mergeCell ref="F43:G43"/>
    <mergeCell ref="A1:R1"/>
    <mergeCell ref="B31:C31"/>
    <mergeCell ref="B40:C40"/>
    <mergeCell ref="F31:G31"/>
    <mergeCell ref="F35:G35"/>
    <mergeCell ref="F40:G40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6"/>
  <sheetViews>
    <sheetView workbookViewId="0">
      <pane ySplit="1" topLeftCell="A2" activePane="bottomLeft" state="frozen"/>
      <selection pane="bottomLeft" activeCell="C19" sqref="C19"/>
    </sheetView>
  </sheetViews>
  <sheetFormatPr defaultRowHeight="15" x14ac:dyDescent="0.25"/>
  <cols>
    <col min="1" max="1" width="17.5703125" customWidth="1"/>
    <col min="2" max="2" width="28.7109375" customWidth="1"/>
    <col min="3" max="3" width="98.140625" customWidth="1"/>
  </cols>
  <sheetData>
    <row r="1" spans="1:10" ht="60" customHeight="1" x14ac:dyDescent="0.25">
      <c r="A1" s="331" t="s">
        <v>18</v>
      </c>
      <c r="B1" s="331"/>
      <c r="C1" s="11" t="s">
        <v>34</v>
      </c>
      <c r="D1" s="328"/>
      <c r="E1" s="328"/>
      <c r="F1" s="328"/>
      <c r="G1" s="328"/>
      <c r="H1" s="328"/>
      <c r="I1" s="328"/>
      <c r="J1" s="328"/>
    </row>
    <row r="2" spans="1:10" ht="15.75" x14ac:dyDescent="0.25">
      <c r="A2" s="10" t="s">
        <v>31</v>
      </c>
      <c r="B2" s="10" t="s">
        <v>32</v>
      </c>
      <c r="C2" s="10" t="s">
        <v>33</v>
      </c>
    </row>
    <row r="3" spans="1:10" x14ac:dyDescent="0.25">
      <c r="A3" s="139">
        <v>46035</v>
      </c>
      <c r="B3" s="9" t="s">
        <v>98</v>
      </c>
      <c r="C3" s="140" t="s">
        <v>440</v>
      </c>
    </row>
    <row r="4" spans="1:10" x14ac:dyDescent="0.25">
      <c r="A4" s="265">
        <v>46037</v>
      </c>
      <c r="B4" s="9" t="s">
        <v>99</v>
      </c>
      <c r="C4" s="9" t="s">
        <v>441</v>
      </c>
    </row>
    <row r="5" spans="1:10" x14ac:dyDescent="0.25">
      <c r="A5" s="265">
        <v>46049</v>
      </c>
      <c r="B5" s="9" t="s">
        <v>98</v>
      </c>
      <c r="C5" s="9" t="s">
        <v>727</v>
      </c>
    </row>
    <row r="6" spans="1:10" x14ac:dyDescent="0.25">
      <c r="A6" s="265">
        <v>46049</v>
      </c>
      <c r="B6" s="9" t="s">
        <v>733</v>
      </c>
      <c r="C6" s="9" t="s">
        <v>734</v>
      </c>
    </row>
    <row r="7" spans="1:10" x14ac:dyDescent="0.25">
      <c r="A7" s="265">
        <v>46042</v>
      </c>
      <c r="B7" s="9" t="s">
        <v>99</v>
      </c>
      <c r="C7" s="9" t="s">
        <v>823</v>
      </c>
    </row>
    <row r="8" spans="1:10" x14ac:dyDescent="0.25">
      <c r="A8" s="9"/>
      <c r="B8" s="9"/>
      <c r="C8" s="9">
        <v>6</v>
      </c>
    </row>
    <row r="9" spans="1:10" x14ac:dyDescent="0.25">
      <c r="A9" s="9"/>
      <c r="B9" s="9"/>
      <c r="C9" s="9">
        <v>7</v>
      </c>
    </row>
    <row r="10" spans="1:10" x14ac:dyDescent="0.25">
      <c r="A10" s="9"/>
      <c r="B10" s="9"/>
      <c r="C10" s="9">
        <v>8</v>
      </c>
    </row>
    <row r="11" spans="1:10" x14ac:dyDescent="0.25">
      <c r="A11" s="9"/>
      <c r="B11" s="9"/>
      <c r="C11" s="9">
        <v>9</v>
      </c>
    </row>
    <row r="12" spans="1:10" x14ac:dyDescent="0.25">
      <c r="A12" s="9"/>
      <c r="B12" s="9"/>
      <c r="C12" s="9">
        <v>10</v>
      </c>
    </row>
    <row r="13" spans="1:10" x14ac:dyDescent="0.25">
      <c r="A13" s="9"/>
      <c r="B13" s="9"/>
      <c r="C13" s="9">
        <v>11</v>
      </c>
    </row>
    <row r="14" spans="1:10" x14ac:dyDescent="0.25">
      <c r="A14" s="9"/>
      <c r="B14" s="9"/>
      <c r="C14" s="9">
        <v>12</v>
      </c>
    </row>
    <row r="15" spans="1:10" x14ac:dyDescent="0.25">
      <c r="A15" s="9"/>
      <c r="B15" s="9"/>
      <c r="C15" s="9">
        <v>13</v>
      </c>
    </row>
    <row r="16" spans="1:10" x14ac:dyDescent="0.25">
      <c r="A16" s="9"/>
      <c r="B16" s="9"/>
      <c r="C16" s="9">
        <v>14</v>
      </c>
    </row>
    <row r="17" spans="1:3" x14ac:dyDescent="0.25">
      <c r="A17" s="9"/>
      <c r="B17" s="9"/>
      <c r="C17" s="9">
        <v>15</v>
      </c>
    </row>
    <row r="18" spans="1:3" x14ac:dyDescent="0.25">
      <c r="A18" s="9"/>
      <c r="B18" s="9"/>
      <c r="C18" s="9"/>
    </row>
    <row r="19" spans="1:3" x14ac:dyDescent="0.25">
      <c r="A19" s="9"/>
      <c r="B19" s="9"/>
      <c r="C19" s="9"/>
    </row>
    <row r="20" spans="1:3" x14ac:dyDescent="0.25">
      <c r="A20" s="9"/>
      <c r="B20" s="9"/>
      <c r="C20" s="9"/>
    </row>
    <row r="21" spans="1:3" x14ac:dyDescent="0.25">
      <c r="A21" s="9"/>
      <c r="B21" s="9"/>
      <c r="C21" s="9"/>
    </row>
    <row r="22" spans="1:3" x14ac:dyDescent="0.25">
      <c r="A22" s="9"/>
      <c r="B22" s="9"/>
      <c r="C22" s="9"/>
    </row>
    <row r="23" spans="1:3" x14ac:dyDescent="0.25">
      <c r="A23" s="9"/>
      <c r="B23" s="9"/>
      <c r="C23" s="9"/>
    </row>
    <row r="24" spans="1:3" x14ac:dyDescent="0.25">
      <c r="A24" s="9"/>
      <c r="B24" s="9"/>
      <c r="C24" s="9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</sheetData>
  <sheetProtection selectLockedCells="1" selectUnlockedCells="1"/>
  <mergeCells count="2">
    <mergeCell ref="A1:B1"/>
    <mergeCell ref="D1:J1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306"/>
  <sheetViews>
    <sheetView topLeftCell="A4" zoomScale="130" zoomScaleNormal="130" workbookViewId="0">
      <selection activeCell="C26" sqref="C26"/>
    </sheetView>
  </sheetViews>
  <sheetFormatPr defaultRowHeight="15" x14ac:dyDescent="0.25"/>
  <cols>
    <col min="2" max="2" width="41" bestFit="1" customWidth="1"/>
    <col min="3" max="3" width="11.42578125" customWidth="1"/>
    <col min="4" max="4" width="12.42578125" customWidth="1"/>
  </cols>
  <sheetData>
    <row r="1" spans="1:60" x14ac:dyDescent="0.25">
      <c r="A1" s="31" t="s">
        <v>85</v>
      </c>
      <c r="B1" s="40"/>
      <c r="C1" s="41"/>
      <c r="D1" s="42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</row>
    <row r="2" spans="1:60" x14ac:dyDescent="0.25">
      <c r="A2" s="31"/>
      <c r="B2" s="359" t="s">
        <v>42</v>
      </c>
      <c r="C2" s="360"/>
      <c r="D2" s="36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</row>
    <row r="3" spans="1:60" x14ac:dyDescent="0.25">
      <c r="A3" s="31"/>
      <c r="B3" s="359"/>
      <c r="C3" s="360"/>
      <c r="D3" s="36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</row>
    <row r="4" spans="1:60" ht="15.75" thickBot="1" x14ac:dyDescent="0.3">
      <c r="A4" s="31"/>
      <c r="B4" s="32"/>
      <c r="C4" s="35"/>
      <c r="D4" s="36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</row>
    <row r="5" spans="1:60" x14ac:dyDescent="0.25">
      <c r="A5" s="31"/>
      <c r="B5" s="362" t="s">
        <v>43</v>
      </c>
      <c r="C5" s="365">
        <f>Lançamentos!N299</f>
        <v>588</v>
      </c>
      <c r="D5" s="366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</row>
    <row r="6" spans="1:60" x14ac:dyDescent="0.25">
      <c r="A6" s="31"/>
      <c r="B6" s="363"/>
      <c r="C6" s="367"/>
      <c r="D6" s="368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</row>
    <row r="7" spans="1:60" x14ac:dyDescent="0.25">
      <c r="A7" s="31"/>
      <c r="B7" s="363"/>
      <c r="C7" s="367"/>
      <c r="D7" s="368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</row>
    <row r="8" spans="1:60" ht="15.75" thickBot="1" x14ac:dyDescent="0.3">
      <c r="A8" s="31"/>
      <c r="B8" s="364"/>
      <c r="C8" s="369"/>
      <c r="D8" s="37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</row>
    <row r="9" spans="1:60" ht="15.75" thickBot="1" x14ac:dyDescent="0.3">
      <c r="A9" s="31"/>
      <c r="B9" s="333"/>
      <c r="C9" s="334"/>
      <c r="D9" s="335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</row>
    <row r="10" spans="1:60" x14ac:dyDescent="0.25">
      <c r="A10" s="31"/>
      <c r="B10" s="371" t="s">
        <v>44</v>
      </c>
      <c r="C10" s="372" t="s">
        <v>45</v>
      </c>
      <c r="D10" s="373"/>
      <c r="E10" s="31"/>
      <c r="F10" s="31"/>
      <c r="G10" s="31"/>
      <c r="H10" s="76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</row>
    <row r="11" spans="1:60" ht="18.75" x14ac:dyDescent="0.25">
      <c r="A11" s="31"/>
      <c r="B11" s="341"/>
      <c r="C11" s="374">
        <f>Lançamentos!O299</f>
        <v>578</v>
      </c>
      <c r="D11" s="375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</row>
    <row r="12" spans="1:60" x14ac:dyDescent="0.25">
      <c r="A12" s="31"/>
      <c r="B12" s="341" t="s">
        <v>46</v>
      </c>
      <c r="C12" s="343" t="s">
        <v>45</v>
      </c>
      <c r="D12" s="344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</row>
    <row r="13" spans="1:60" ht="19.5" thickBot="1" x14ac:dyDescent="0.3">
      <c r="A13" s="31"/>
      <c r="B13" s="342"/>
      <c r="C13" s="345">
        <f>C11/C5</f>
        <v>0.98299319727891155</v>
      </c>
      <c r="D13" s="346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</row>
    <row r="14" spans="1:60" ht="15.75" thickBot="1" x14ac:dyDescent="0.3">
      <c r="A14" s="31"/>
      <c r="B14" s="333"/>
      <c r="C14" s="334"/>
      <c r="D14" s="335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</row>
    <row r="15" spans="1:60" x14ac:dyDescent="0.25">
      <c r="A15" s="31"/>
      <c r="B15" s="347" t="s">
        <v>38</v>
      </c>
      <c r="C15" s="349" t="s">
        <v>45</v>
      </c>
      <c r="D15" s="350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</row>
    <row r="16" spans="1:60" ht="18.75" x14ac:dyDescent="0.25">
      <c r="A16" s="31"/>
      <c r="B16" s="348"/>
      <c r="C16" s="351">
        <f>Lançamentos!O299+Lançamentos!Z299</f>
        <v>584</v>
      </c>
      <c r="D16" s="352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</row>
    <row r="17" spans="1:60" x14ac:dyDescent="0.25">
      <c r="A17" s="31"/>
      <c r="B17" s="348" t="s">
        <v>46</v>
      </c>
      <c r="C17" s="354" t="s">
        <v>45</v>
      </c>
      <c r="D17" s="355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</row>
    <row r="18" spans="1:60" ht="19.5" thickBot="1" x14ac:dyDescent="0.3">
      <c r="A18" s="31"/>
      <c r="B18" s="353"/>
      <c r="C18" s="356">
        <f>'CONFIGURAÇÃO '!Q26</f>
        <v>0.99319727891156462</v>
      </c>
      <c r="D18" s="357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</row>
    <row r="19" spans="1:60" ht="15.75" thickBot="1" x14ac:dyDescent="0.3">
      <c r="A19" s="31"/>
      <c r="B19" s="333"/>
      <c r="C19" s="334"/>
      <c r="D19" s="335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</row>
    <row r="20" spans="1:60" x14ac:dyDescent="0.25">
      <c r="A20" s="31"/>
      <c r="B20" s="358" t="s">
        <v>47</v>
      </c>
      <c r="C20" s="17" t="s">
        <v>45</v>
      </c>
      <c r="D20" s="18" t="s">
        <v>48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</row>
    <row r="21" spans="1:60" ht="18.75" x14ac:dyDescent="0.25">
      <c r="A21" s="31"/>
      <c r="B21" s="339"/>
      <c r="C21" s="19">
        <f>C36</f>
        <v>6</v>
      </c>
      <c r="D21" s="20">
        <f>C38</f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</row>
    <row r="22" spans="1:60" x14ac:dyDescent="0.25">
      <c r="A22" s="31"/>
      <c r="B22" s="339" t="s">
        <v>46</v>
      </c>
      <c r="C22" s="21" t="s">
        <v>45</v>
      </c>
      <c r="D22" s="22" t="s">
        <v>48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</row>
    <row r="23" spans="1:60" ht="19.5" thickBot="1" x14ac:dyDescent="0.3">
      <c r="A23" s="31"/>
      <c r="B23" s="340"/>
      <c r="C23" s="23">
        <f>D36</f>
        <v>1.020408163265306E-2</v>
      </c>
      <c r="D23" s="217">
        <f>D38</f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</row>
    <row r="24" spans="1:60" ht="15.75" thickBot="1" x14ac:dyDescent="0.3">
      <c r="A24" s="31"/>
      <c r="B24" s="333"/>
      <c r="C24" s="334"/>
      <c r="D24" s="335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</row>
    <row r="25" spans="1:60" x14ac:dyDescent="0.25">
      <c r="A25" s="31"/>
      <c r="B25" s="336" t="s">
        <v>40</v>
      </c>
      <c r="C25" s="24" t="s">
        <v>45</v>
      </c>
      <c r="D25" s="25" t="s">
        <v>48</v>
      </c>
      <c r="E25" s="31"/>
      <c r="F25" s="31"/>
      <c r="G25" s="76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</row>
    <row r="26" spans="1:60" ht="18.75" x14ac:dyDescent="0.25">
      <c r="A26" s="31"/>
      <c r="B26" s="337"/>
      <c r="C26" s="26">
        <f>C43</f>
        <v>4</v>
      </c>
      <c r="D26" s="27">
        <f>C45</f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</row>
    <row r="27" spans="1:60" x14ac:dyDescent="0.25">
      <c r="A27" s="31"/>
      <c r="B27" s="337" t="s">
        <v>46</v>
      </c>
      <c r="C27" s="28" t="s">
        <v>45</v>
      </c>
      <c r="D27" s="29" t="s">
        <v>48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</row>
    <row r="28" spans="1:60" ht="19.5" thickBot="1" x14ac:dyDescent="0.3">
      <c r="A28" s="31"/>
      <c r="B28" s="338"/>
      <c r="C28" s="145">
        <f>D43</f>
        <v>6.8027210884353739E-3</v>
      </c>
      <c r="D28" s="211">
        <f>D45</f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</row>
    <row r="29" spans="1:60" x14ac:dyDescent="0.25">
      <c r="A29" s="44"/>
      <c r="B29" s="45"/>
      <c r="C29" s="45"/>
      <c r="D29" s="45"/>
      <c r="E29" s="45"/>
      <c r="F29" s="45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4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</row>
    <row r="30" spans="1:60" x14ac:dyDescent="0.25">
      <c r="A30" s="46"/>
      <c r="B30" s="47"/>
      <c r="C30" s="47"/>
      <c r="D30" s="47"/>
      <c r="E30" s="47"/>
      <c r="F30" s="47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6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</row>
    <row r="31" spans="1:60" x14ac:dyDescent="0.25">
      <c r="A31" s="48"/>
      <c r="B31" s="62" t="s">
        <v>49</v>
      </c>
      <c r="E31" s="49"/>
      <c r="F31" s="47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6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</row>
    <row r="32" spans="1:60" x14ac:dyDescent="0.25">
      <c r="A32" s="48"/>
      <c r="B32" s="63"/>
      <c r="C32" t="s">
        <v>89</v>
      </c>
      <c r="E32" s="49"/>
      <c r="F32" s="47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6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</row>
    <row r="33" spans="1:60" x14ac:dyDescent="0.25">
      <c r="A33" s="48"/>
      <c r="B33" t="s">
        <v>36</v>
      </c>
      <c r="C33" s="62">
        <f>'CONFIGURAÇÃO '!F36</f>
        <v>1.020408163265306E-2</v>
      </c>
      <c r="E33" s="49"/>
      <c r="F33" s="47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6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</row>
    <row r="34" spans="1:60" x14ac:dyDescent="0.25">
      <c r="A34" s="48"/>
      <c r="B34" t="s">
        <v>90</v>
      </c>
      <c r="C34" s="62">
        <f>C33/I37</f>
        <v>1.7006802721088435E-3</v>
      </c>
      <c r="E34" s="49"/>
      <c r="F34" s="47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6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</row>
    <row r="35" spans="1:60" x14ac:dyDescent="0.25">
      <c r="A35" s="48"/>
      <c r="D35" t="s">
        <v>45</v>
      </c>
      <c r="E35" s="49"/>
      <c r="F35" s="47">
        <f>Lançamentos!AB299</f>
        <v>4</v>
      </c>
      <c r="G35" s="35" t="s">
        <v>77</v>
      </c>
      <c r="H35" s="35"/>
      <c r="I35" s="332">
        <f>SUM(F35:F36)</f>
        <v>4</v>
      </c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6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</row>
    <row r="36" spans="1:60" x14ac:dyDescent="0.25">
      <c r="A36" s="48"/>
      <c r="C36">
        <f>'CONFIGURAÇÃO '!K3</f>
        <v>6</v>
      </c>
      <c r="D36" s="68">
        <f>C36*C34</f>
        <v>1.020408163265306E-2</v>
      </c>
      <c r="E36" s="49"/>
      <c r="F36" s="47">
        <f>Lançamentos!AA299</f>
        <v>0</v>
      </c>
      <c r="G36" s="35" t="s">
        <v>76</v>
      </c>
      <c r="H36" s="35"/>
      <c r="I36" s="332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6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</row>
    <row r="37" spans="1:60" x14ac:dyDescent="0.25">
      <c r="A37" s="48"/>
      <c r="D37" t="s">
        <v>48</v>
      </c>
      <c r="E37" s="49"/>
      <c r="F37" s="47">
        <f>Lançamentos!Z299</f>
        <v>6</v>
      </c>
      <c r="G37" s="35" t="s">
        <v>78</v>
      </c>
      <c r="H37" s="35"/>
      <c r="I37" s="332">
        <f>SUM(F37:F38)</f>
        <v>6</v>
      </c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6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</row>
    <row r="38" spans="1:60" x14ac:dyDescent="0.25">
      <c r="A38" s="48"/>
      <c r="C38">
        <f>'CONFIGURAÇÃO '!M3</f>
        <v>0</v>
      </c>
      <c r="D38" s="69">
        <f>C38*C34</f>
        <v>0</v>
      </c>
      <c r="E38" s="49"/>
      <c r="F38" s="47">
        <f>Lançamentos!Y299</f>
        <v>0</v>
      </c>
      <c r="G38" s="35" t="s">
        <v>79</v>
      </c>
      <c r="H38" s="35"/>
      <c r="I38" s="332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6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</row>
    <row r="39" spans="1:60" x14ac:dyDescent="0.25">
      <c r="A39" s="48"/>
      <c r="C39" t="s">
        <v>89</v>
      </c>
      <c r="E39" s="49"/>
      <c r="F39" s="47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6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</row>
    <row r="40" spans="1:60" x14ac:dyDescent="0.25">
      <c r="A40" s="48"/>
      <c r="B40" t="s">
        <v>50</v>
      </c>
      <c r="C40" s="62">
        <f>'CONFIGURAÇÃO '!F41</f>
        <v>6.8027210884353739E-3</v>
      </c>
      <c r="E40" s="49"/>
      <c r="F40" s="47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6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</row>
    <row r="41" spans="1:60" x14ac:dyDescent="0.25">
      <c r="A41" s="48"/>
      <c r="B41" t="s">
        <v>90</v>
      </c>
      <c r="C41" s="62">
        <f>C40/I35</f>
        <v>1.7006802721088435E-3</v>
      </c>
      <c r="E41" s="49"/>
      <c r="F41" s="47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6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</row>
    <row r="42" spans="1:60" x14ac:dyDescent="0.25">
      <c r="A42" s="48"/>
      <c r="D42" t="s">
        <v>45</v>
      </c>
      <c r="E42" s="49"/>
      <c r="F42" s="47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6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</row>
    <row r="43" spans="1:60" x14ac:dyDescent="0.25">
      <c r="A43" s="48"/>
      <c r="C43">
        <f>'CONFIGURAÇÃO '!L3</f>
        <v>4</v>
      </c>
      <c r="D43" s="68">
        <f>C43*C41</f>
        <v>6.8027210884353739E-3</v>
      </c>
      <c r="E43" s="49"/>
      <c r="F43" s="47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6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</row>
    <row r="44" spans="1:60" x14ac:dyDescent="0.25">
      <c r="A44" s="48"/>
      <c r="D44" t="s">
        <v>48</v>
      </c>
      <c r="E44" s="49"/>
      <c r="F44" s="47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6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</row>
    <row r="45" spans="1:60" x14ac:dyDescent="0.25">
      <c r="A45" s="48"/>
      <c r="C45">
        <f>'CONFIGURAÇÃO '!N3</f>
        <v>0</v>
      </c>
      <c r="D45" s="69">
        <f>C45*C41</f>
        <v>0</v>
      </c>
      <c r="E45" s="49"/>
      <c r="F45" s="47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6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</row>
    <row r="46" spans="1:60" x14ac:dyDescent="0.25">
      <c r="A46" s="46"/>
      <c r="E46" s="47"/>
      <c r="F46" s="47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6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</row>
    <row r="47" spans="1:60" x14ac:dyDescent="0.25">
      <c r="A47" s="46"/>
      <c r="B47" s="47"/>
      <c r="C47" s="47"/>
      <c r="D47" s="47"/>
      <c r="E47" s="47"/>
      <c r="F47" s="47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6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</row>
    <row r="48" spans="1:60" x14ac:dyDescent="0.25">
      <c r="A48" s="46"/>
      <c r="B48" s="47"/>
      <c r="C48" s="47"/>
      <c r="D48" s="47"/>
      <c r="E48" s="47"/>
      <c r="F48" s="47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6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</row>
    <row r="49" spans="1:60" x14ac:dyDescent="0.25">
      <c r="A49" s="46"/>
      <c r="B49" s="47"/>
      <c r="C49" s="47"/>
      <c r="D49" s="47"/>
      <c r="E49" s="47"/>
      <c r="F49" s="47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6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</row>
    <row r="50" spans="1:60" x14ac:dyDescent="0.25">
      <c r="A50" s="46"/>
      <c r="B50" s="47"/>
      <c r="C50" s="47"/>
      <c r="D50" s="47"/>
      <c r="E50" s="47"/>
      <c r="F50" s="47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6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</row>
    <row r="51" spans="1:60" x14ac:dyDescent="0.25">
      <c r="A51" s="32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6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</row>
    <row r="52" spans="1:60" x14ac:dyDescent="0.25">
      <c r="A52" s="32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6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</row>
    <row r="53" spans="1:60" ht="15.75" thickBot="1" x14ac:dyDescent="0.3">
      <c r="A53" s="37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9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</row>
    <row r="54" spans="1:60" x14ac:dyDescent="0.2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</row>
    <row r="55" spans="1:60" x14ac:dyDescent="0.2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</row>
    <row r="56" spans="1:60" x14ac:dyDescent="0.2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</row>
    <row r="57" spans="1:60" x14ac:dyDescent="0.2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</row>
    <row r="58" spans="1:60" x14ac:dyDescent="0.2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</row>
    <row r="59" spans="1:60" x14ac:dyDescent="0.2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</row>
    <row r="60" spans="1:60" x14ac:dyDescent="0.2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</row>
    <row r="61" spans="1:60" x14ac:dyDescent="0.2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</row>
    <row r="62" spans="1:60" x14ac:dyDescent="0.2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</row>
    <row r="63" spans="1:60" x14ac:dyDescent="0.2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</row>
    <row r="64" spans="1:60" x14ac:dyDescent="0.2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</row>
    <row r="65" spans="1:60" x14ac:dyDescent="0.2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</row>
    <row r="66" spans="1:60" x14ac:dyDescent="0.2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</row>
    <row r="67" spans="1:60" x14ac:dyDescent="0.2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</row>
    <row r="68" spans="1:60" x14ac:dyDescent="0.2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</row>
    <row r="69" spans="1:60" x14ac:dyDescent="0.2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</row>
    <row r="70" spans="1:60" x14ac:dyDescent="0.2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</row>
    <row r="71" spans="1:60" x14ac:dyDescent="0.2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</row>
    <row r="72" spans="1:60" x14ac:dyDescent="0.2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</row>
    <row r="73" spans="1:60" x14ac:dyDescent="0.2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</row>
    <row r="74" spans="1:60" x14ac:dyDescent="0.2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</row>
    <row r="75" spans="1:60" x14ac:dyDescent="0.2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</row>
    <row r="76" spans="1:60" x14ac:dyDescent="0.2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</row>
    <row r="77" spans="1:60" x14ac:dyDescent="0.2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</row>
    <row r="78" spans="1:60" x14ac:dyDescent="0.2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</row>
    <row r="79" spans="1:60" x14ac:dyDescent="0.2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</row>
    <row r="80" spans="1:60" x14ac:dyDescent="0.2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</row>
    <row r="81" spans="1:60" x14ac:dyDescent="0.2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</row>
    <row r="82" spans="1:60" x14ac:dyDescent="0.2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</row>
    <row r="83" spans="1:60" x14ac:dyDescent="0.2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</row>
    <row r="84" spans="1:60" x14ac:dyDescent="0.2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</row>
    <row r="85" spans="1:60" x14ac:dyDescent="0.2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</row>
    <row r="86" spans="1:60" x14ac:dyDescent="0.2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</row>
    <row r="87" spans="1:60" x14ac:dyDescent="0.2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</row>
    <row r="88" spans="1:60" x14ac:dyDescent="0.2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</row>
    <row r="89" spans="1:60" x14ac:dyDescent="0.2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</row>
    <row r="90" spans="1:60" x14ac:dyDescent="0.2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</row>
    <row r="91" spans="1:60" x14ac:dyDescent="0.2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</row>
    <row r="92" spans="1:60" x14ac:dyDescent="0.2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</row>
    <row r="93" spans="1:60" x14ac:dyDescent="0.2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</row>
    <row r="94" spans="1:60" x14ac:dyDescent="0.2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</row>
    <row r="95" spans="1:60" x14ac:dyDescent="0.2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</row>
    <row r="96" spans="1:60" x14ac:dyDescent="0.2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</row>
    <row r="97" spans="1:22" x14ac:dyDescent="0.2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</row>
    <row r="98" spans="1:22" x14ac:dyDescent="0.2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</row>
    <row r="99" spans="1:22" x14ac:dyDescent="0.2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</row>
    <row r="100" spans="1:22" x14ac:dyDescent="0.2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</row>
    <row r="101" spans="1:22" x14ac:dyDescent="0.2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</row>
    <row r="102" spans="1:22" x14ac:dyDescent="0.2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</row>
    <row r="103" spans="1:22" x14ac:dyDescent="0.2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</row>
    <row r="104" spans="1:22" x14ac:dyDescent="0.2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</row>
    <row r="105" spans="1:22" x14ac:dyDescent="0.2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</row>
    <row r="106" spans="1:22" x14ac:dyDescent="0.2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</row>
    <row r="107" spans="1:22" x14ac:dyDescent="0.2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</row>
    <row r="108" spans="1:22" x14ac:dyDescent="0.2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</row>
    <row r="109" spans="1:22" x14ac:dyDescent="0.2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</row>
    <row r="110" spans="1:22" x14ac:dyDescent="0.2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</row>
    <row r="111" spans="1:22" x14ac:dyDescent="0.2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</row>
    <row r="112" spans="1:22" x14ac:dyDescent="0.2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</row>
    <row r="113" spans="1:22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</row>
    <row r="114" spans="1:22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</row>
    <row r="115" spans="1:22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</row>
    <row r="116" spans="1:22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</row>
    <row r="117" spans="1:22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</row>
    <row r="118" spans="1:22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</row>
    <row r="119" spans="1:22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</row>
    <row r="120" spans="1:22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</row>
    <row r="121" spans="1:22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</row>
    <row r="122" spans="1:22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</row>
    <row r="123" spans="1:22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</row>
    <row r="124" spans="1:22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</row>
    <row r="125" spans="1:22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</row>
    <row r="126" spans="1:22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</row>
    <row r="127" spans="1:22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</row>
    <row r="128" spans="1:22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</row>
    <row r="129" spans="1:22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</row>
    <row r="130" spans="1:22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</row>
    <row r="131" spans="1:22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</row>
    <row r="132" spans="1:22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</row>
    <row r="133" spans="1:22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</row>
    <row r="134" spans="1:22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</row>
    <row r="135" spans="1:22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</row>
    <row r="136" spans="1:22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</row>
    <row r="137" spans="1:22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</row>
    <row r="138" spans="1:22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</row>
    <row r="139" spans="1:22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</row>
    <row r="140" spans="1:22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</row>
    <row r="141" spans="1:22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</row>
    <row r="142" spans="1:22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</row>
    <row r="143" spans="1:22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</row>
    <row r="144" spans="1:22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</row>
    <row r="145" spans="1:22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</row>
    <row r="146" spans="1:22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</row>
    <row r="147" spans="1:22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</row>
    <row r="148" spans="1:22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</row>
    <row r="149" spans="1:22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</row>
    <row r="150" spans="1:22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</row>
    <row r="151" spans="1:22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</row>
    <row r="152" spans="1:22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</row>
    <row r="153" spans="1:22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</row>
    <row r="154" spans="1:22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</row>
    <row r="155" spans="1:22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</row>
    <row r="156" spans="1:22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</row>
    <row r="157" spans="1:22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</row>
    <row r="158" spans="1:22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</row>
    <row r="159" spans="1:22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</row>
    <row r="160" spans="1:22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</row>
    <row r="161" spans="1:22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</row>
    <row r="162" spans="1:22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</row>
    <row r="163" spans="1:22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</row>
    <row r="164" spans="1:22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</row>
    <row r="165" spans="1:22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</row>
    <row r="166" spans="1:22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</row>
    <row r="167" spans="1:22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</row>
    <row r="168" spans="1:22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</row>
    <row r="169" spans="1:22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</row>
    <row r="170" spans="1:22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</row>
    <row r="171" spans="1:22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</row>
    <row r="172" spans="1:22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</row>
    <row r="173" spans="1:22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</row>
    <row r="174" spans="1:22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</row>
    <row r="175" spans="1:22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</row>
    <row r="176" spans="1:22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</row>
    <row r="177" spans="1:22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</row>
    <row r="178" spans="1:22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</row>
    <row r="179" spans="1:22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</row>
    <row r="180" spans="1:22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</row>
    <row r="181" spans="1:22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</row>
    <row r="182" spans="1:22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</row>
    <row r="183" spans="1:22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</row>
    <row r="184" spans="1:22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</row>
    <row r="185" spans="1:22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</row>
    <row r="186" spans="1:22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</row>
    <row r="187" spans="1:22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</row>
    <row r="188" spans="1:22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</row>
    <row r="189" spans="1:22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</row>
    <row r="190" spans="1:22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</row>
    <row r="191" spans="1:22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</row>
    <row r="192" spans="1:22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</row>
    <row r="193" spans="1:22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</row>
    <row r="194" spans="1:22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</row>
    <row r="195" spans="1:22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</row>
    <row r="196" spans="1:22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</row>
    <row r="197" spans="1:22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</row>
    <row r="198" spans="1:22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</row>
    <row r="199" spans="1:22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</row>
    <row r="200" spans="1:22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</row>
    <row r="201" spans="1:22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</row>
    <row r="202" spans="1:22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</row>
    <row r="203" spans="1:22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</row>
    <row r="204" spans="1:22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</row>
    <row r="205" spans="1:22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</row>
    <row r="206" spans="1:22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</row>
    <row r="207" spans="1:22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</row>
    <row r="208" spans="1:22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</row>
    <row r="209" spans="1:22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</row>
    <row r="210" spans="1:22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</row>
    <row r="211" spans="1:22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</row>
    <row r="212" spans="1:22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</row>
    <row r="213" spans="1:22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</row>
    <row r="214" spans="1:22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</row>
    <row r="215" spans="1:22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</row>
    <row r="216" spans="1:22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</row>
    <row r="217" spans="1:22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</row>
    <row r="218" spans="1:22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</row>
    <row r="219" spans="1:22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</row>
    <row r="220" spans="1:22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</row>
    <row r="221" spans="1:22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</row>
    <row r="222" spans="1:22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</row>
    <row r="223" spans="1:22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</row>
    <row r="224" spans="1:22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</row>
    <row r="225" spans="1:22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</row>
    <row r="226" spans="1:22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</row>
    <row r="227" spans="1:22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</row>
    <row r="228" spans="1:22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</row>
    <row r="229" spans="1:22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</row>
    <row r="230" spans="1:22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</row>
    <row r="231" spans="1:22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</row>
    <row r="232" spans="1:22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</row>
    <row r="233" spans="1:22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</row>
    <row r="234" spans="1:22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</row>
    <row r="235" spans="1:22" x14ac:dyDescent="0.25"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</row>
    <row r="236" spans="1:22" x14ac:dyDescent="0.25"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</row>
    <row r="237" spans="1:22" x14ac:dyDescent="0.25"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</row>
    <row r="238" spans="1:22" x14ac:dyDescent="0.25"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</row>
    <row r="239" spans="1:22" x14ac:dyDescent="0.25"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</row>
    <row r="240" spans="1:22" x14ac:dyDescent="0.25"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</row>
    <row r="241" spans="5:22" x14ac:dyDescent="0.25"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</row>
    <row r="242" spans="5:22" x14ac:dyDescent="0.25"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</row>
    <row r="243" spans="5:22" x14ac:dyDescent="0.25"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</row>
    <row r="244" spans="5:22" x14ac:dyDescent="0.25"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</row>
    <row r="245" spans="5:22" x14ac:dyDescent="0.25"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</row>
    <row r="246" spans="5:22" x14ac:dyDescent="0.25"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</row>
    <row r="247" spans="5:22" x14ac:dyDescent="0.25"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</row>
    <row r="248" spans="5:22" x14ac:dyDescent="0.25"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</row>
    <row r="249" spans="5:22" x14ac:dyDescent="0.25"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</row>
    <row r="250" spans="5:22" x14ac:dyDescent="0.25"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</row>
    <row r="251" spans="5:22" x14ac:dyDescent="0.25"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</row>
    <row r="252" spans="5:22" x14ac:dyDescent="0.25"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</row>
    <row r="253" spans="5:22" x14ac:dyDescent="0.25"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</row>
    <row r="254" spans="5:22" x14ac:dyDescent="0.25"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</row>
    <row r="255" spans="5:22" x14ac:dyDescent="0.25"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</row>
    <row r="256" spans="5:22" x14ac:dyDescent="0.25"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</row>
    <row r="257" spans="5:22" x14ac:dyDescent="0.25"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</row>
    <row r="258" spans="5:22" x14ac:dyDescent="0.25"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</row>
    <row r="259" spans="5:22" x14ac:dyDescent="0.25"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</row>
    <row r="260" spans="5:22" x14ac:dyDescent="0.25"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</row>
    <row r="261" spans="5:22" x14ac:dyDescent="0.25"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</row>
    <row r="262" spans="5:22" x14ac:dyDescent="0.25"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</row>
    <row r="263" spans="5:22" x14ac:dyDescent="0.25"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</row>
    <row r="264" spans="5:22" x14ac:dyDescent="0.25"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</row>
    <row r="265" spans="5:22" x14ac:dyDescent="0.25"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</row>
    <row r="266" spans="5:22" x14ac:dyDescent="0.25"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</row>
    <row r="267" spans="5:22" x14ac:dyDescent="0.25"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</row>
    <row r="268" spans="5:22" x14ac:dyDescent="0.25"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</row>
    <row r="269" spans="5:22" x14ac:dyDescent="0.25"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</row>
    <row r="270" spans="5:22" x14ac:dyDescent="0.25"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</row>
    <row r="271" spans="5:22" x14ac:dyDescent="0.25"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</row>
    <row r="272" spans="5:22" x14ac:dyDescent="0.25"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</row>
    <row r="273" spans="5:22" x14ac:dyDescent="0.25"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</row>
    <row r="274" spans="5:22" x14ac:dyDescent="0.25"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</row>
    <row r="275" spans="5:22" x14ac:dyDescent="0.25"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</row>
    <row r="276" spans="5:22" x14ac:dyDescent="0.25"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</row>
    <row r="277" spans="5:22" x14ac:dyDescent="0.25"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</row>
    <row r="278" spans="5:22" x14ac:dyDescent="0.25"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</row>
    <row r="279" spans="5:22" x14ac:dyDescent="0.25"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</row>
    <row r="280" spans="5:22" x14ac:dyDescent="0.25"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</row>
    <row r="281" spans="5:22" x14ac:dyDescent="0.25"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</row>
    <row r="282" spans="5:22" x14ac:dyDescent="0.25"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</row>
    <row r="283" spans="5:22" x14ac:dyDescent="0.25"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</row>
    <row r="284" spans="5:22" x14ac:dyDescent="0.25"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</row>
    <row r="285" spans="5:22" x14ac:dyDescent="0.25"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</row>
    <row r="286" spans="5:22" x14ac:dyDescent="0.25"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</row>
    <row r="287" spans="5:22" x14ac:dyDescent="0.25"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</row>
    <row r="288" spans="5:22" x14ac:dyDescent="0.25"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</row>
    <row r="289" spans="5:22" x14ac:dyDescent="0.25"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</row>
    <row r="290" spans="5:22" x14ac:dyDescent="0.25"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</row>
    <row r="291" spans="5:22" x14ac:dyDescent="0.25"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</row>
    <row r="292" spans="5:22" x14ac:dyDescent="0.25"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</row>
    <row r="293" spans="5:22" x14ac:dyDescent="0.25"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</row>
    <row r="294" spans="5:22" x14ac:dyDescent="0.25"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</row>
    <row r="295" spans="5:22" x14ac:dyDescent="0.25"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</row>
    <row r="296" spans="5:22" x14ac:dyDescent="0.25"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</row>
    <row r="297" spans="5:22" x14ac:dyDescent="0.25"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</row>
    <row r="298" spans="5:22" x14ac:dyDescent="0.25"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</row>
    <row r="299" spans="5:22" x14ac:dyDescent="0.25"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</row>
    <row r="300" spans="5:22" x14ac:dyDescent="0.25"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</row>
    <row r="301" spans="5:22" x14ac:dyDescent="0.25"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</row>
    <row r="302" spans="5:22" x14ac:dyDescent="0.25"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</row>
    <row r="303" spans="5:22" x14ac:dyDescent="0.25"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</row>
    <row r="304" spans="5:22" x14ac:dyDescent="0.25"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</row>
    <row r="305" spans="5:22" x14ac:dyDescent="0.25"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</row>
    <row r="306" spans="5:22" x14ac:dyDescent="0.25"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</row>
  </sheetData>
  <sheetProtection selectLockedCells="1" selectUnlockedCells="1"/>
  <mergeCells count="25">
    <mergeCell ref="B2:D3"/>
    <mergeCell ref="B5:B8"/>
    <mergeCell ref="C5:D8"/>
    <mergeCell ref="B9:D9"/>
    <mergeCell ref="B10:B11"/>
    <mergeCell ref="C10:D10"/>
    <mergeCell ref="C11:D11"/>
    <mergeCell ref="B22:B23"/>
    <mergeCell ref="B12:B13"/>
    <mergeCell ref="C12:D12"/>
    <mergeCell ref="C13:D13"/>
    <mergeCell ref="B14:D14"/>
    <mergeCell ref="B15:B16"/>
    <mergeCell ref="C15:D15"/>
    <mergeCell ref="C16:D16"/>
    <mergeCell ref="B17:B18"/>
    <mergeCell ref="C17:D17"/>
    <mergeCell ref="C18:D18"/>
    <mergeCell ref="B19:D19"/>
    <mergeCell ref="B20:B21"/>
    <mergeCell ref="I37:I38"/>
    <mergeCell ref="I35:I36"/>
    <mergeCell ref="B24:D24"/>
    <mergeCell ref="B25:B26"/>
    <mergeCell ref="B27:B28"/>
  </mergeCells>
  <printOptions horizontalCentered="1" verticalCentered="1"/>
  <pageMargins left="0.31496062992125984" right="0.31496062992125984" top="0.59055118110236227" bottom="0.59055118110236227" header="0.31496062992125984" footer="0.31496062992125984"/>
  <pageSetup paperSize="9" scale="13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</vt:i4>
      </vt:variant>
    </vt:vector>
  </HeadingPairs>
  <TitlesOfParts>
    <vt:vector size="7" baseType="lpstr">
      <vt:lpstr>DASH</vt:lpstr>
      <vt:lpstr>Lançamentos</vt:lpstr>
      <vt:lpstr>PRODUTOS DE REFUGO</vt:lpstr>
      <vt:lpstr>CONFIGURAÇÃO </vt:lpstr>
      <vt:lpstr>Observações</vt:lpstr>
      <vt:lpstr>Indicadores Usinagem</vt:lpstr>
      <vt:lpstr>'PRODUTOS DE REFUGO'!Area_de_impressao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Neto N.</dc:creator>
  <cp:lastModifiedBy>Alexandre Cardoso</cp:lastModifiedBy>
  <cp:lastPrinted>2026-02-03T17:58:34Z</cp:lastPrinted>
  <dcterms:created xsi:type="dcterms:W3CDTF">2024-04-08T21:54:05Z</dcterms:created>
  <dcterms:modified xsi:type="dcterms:W3CDTF">2026-02-18T09:02:04Z</dcterms:modified>
</cp:coreProperties>
</file>