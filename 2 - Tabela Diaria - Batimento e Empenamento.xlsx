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ECCC3043-C072-4B7D-9884-7F305F952A07}" xr6:coauthVersionLast="47" xr6:coauthVersionMax="47" xr10:uidLastSave="{00000000-0000-0000-0000-000000000000}"/>
  <bookViews>
    <workbookView xWindow="-120" yWindow="-120" windowWidth="20730" windowHeight="11160" firstSheet="3" activeTab="39" xr2:uid="{00000000-000D-0000-FFFF-FFFF00000000}"/>
  </bookViews>
  <sheets>
    <sheet name="LAPAROL-057787-EMENDAS" sheetId="18" state="hidden" r:id="rId1"/>
    <sheet name="QUARKS-025045-EMENDAS" sheetId="19" state="hidden" r:id="rId2"/>
    <sheet name="EMENDA-DHALMAR-057308" sheetId="43" state="hidden" r:id="rId3"/>
    <sheet name="TERCEIRO - GALMETA  - EDSON" sheetId="13" r:id="rId4"/>
    <sheet name="PADRÃO GUIA - EMENDAS" sheetId="14" r:id="rId5"/>
    <sheet name="Padrão (Usar como Modelo)" sheetId="29" r:id="rId6"/>
    <sheet name="05-01" sheetId="15" state="hidden" r:id="rId7"/>
    <sheet name="06-01" sheetId="16" state="hidden" r:id="rId8"/>
    <sheet name="QUARKS-0092943- EMENDAS" sheetId="17" state="hidden" r:id="rId9"/>
    <sheet name="07-01" sheetId="20" state="hidden" r:id="rId10"/>
    <sheet name="0094168 - MASSINI - 057644" sheetId="21" state="hidden" r:id="rId11"/>
    <sheet name="08-01" sheetId="22" state="hidden" r:id="rId12"/>
    <sheet name="0092892 - GDC - 057021" sheetId="23" state="hidden" r:id="rId13"/>
    <sheet name="0092892 - GDC - 057020" sheetId="24" state="hidden" r:id="rId14"/>
    <sheet name="0092892 - GDC - 0570201 - F. 4" sheetId="25" state="hidden" r:id="rId15"/>
    <sheet name="0092892 - GDC - 057020 - F. 1" sheetId="26" state="hidden" r:id="rId16"/>
    <sheet name="0094511-MOTOMAN-047600" sheetId="27" state="hidden" r:id="rId17"/>
    <sheet name="09-01" sheetId="28" state="hidden" r:id="rId18"/>
    <sheet name="12-01" sheetId="12" state="hidden" r:id="rId19"/>
    <sheet name="0094440 -MESSER - 057634" sheetId="30" state="hidden" r:id="rId20"/>
    <sheet name="13-01" sheetId="31" state="hidden" r:id="rId21"/>
    <sheet name="14-01" sheetId="33" state="hidden" r:id="rId22"/>
    <sheet name="0094593 - STATOMAT - 057858" sheetId="32" state="hidden" r:id="rId23"/>
    <sheet name="0094647 - PLASSON - 011109" sheetId="34" state="hidden" r:id="rId24"/>
    <sheet name="0094648 - BIRISOLDAS - 057941" sheetId="35" state="hidden" r:id="rId25"/>
    <sheet name="15-01" sheetId="36" state="hidden" r:id="rId26"/>
    <sheet name="0094634 - MEC  M.N - 057950" sheetId="37" state="hidden" r:id="rId27"/>
    <sheet name="0092943 - QUARKS - 025045" sheetId="38" state="hidden" r:id="rId28"/>
    <sheet name="16-01" sheetId="39" state="hidden" r:id="rId29"/>
    <sheet name="19-01" sheetId="42" state="hidden" r:id="rId30"/>
    <sheet name="20-01" sheetId="44" state="hidden" r:id="rId31"/>
    <sheet name="0094310 - QUARKS - 057733" sheetId="45" state="hidden" r:id="rId32"/>
    <sheet name="0094349 - QUARKS - 057734" sheetId="46" state="hidden" r:id="rId33"/>
    <sheet name="0093734 - VERRY - 054333" sheetId="47" state="hidden" r:id="rId34"/>
    <sheet name="0093304 - QUARKS - 057141" sheetId="48" state="hidden" r:id="rId35"/>
    <sheet name="21-01" sheetId="49" state="hidden" r:id="rId36"/>
    <sheet name="22-01" sheetId="50" state="hidden" r:id="rId37"/>
    <sheet name="COMERCIAL-0094264" sheetId="52" state="hidden" r:id="rId38"/>
    <sheet name="0094232 - MESSER - 056959" sheetId="51" state="hidden" r:id="rId39"/>
    <sheet name="23-01" sheetId="53" r:id="rId40"/>
  </sheets>
  <definedNames>
    <definedName name="_xlnm._FilterDatabase" localSheetId="36" hidden="1">'22-01'!$A$2:$L$2</definedName>
    <definedName name="_xlnm._FilterDatabase" localSheetId="39" hidden="1">'23-01'!$A$2:$L$2</definedName>
    <definedName name="_xlnm._FilterDatabase" localSheetId="5" hidden="1">'Padrão (Usar como Modelo)'!$A$2:$L$2</definedName>
    <definedName name="_xlnm.Print_Area" localSheetId="25">'15-01'!$A$1:$I$6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4" i="51" l="1"/>
  <c r="P64" i="51"/>
  <c r="I64" i="51"/>
  <c r="E64" i="51"/>
  <c r="T63" i="51"/>
  <c r="P63" i="51"/>
  <c r="I63" i="51"/>
  <c r="E63" i="51"/>
  <c r="T62" i="51"/>
  <c r="P62" i="51"/>
  <c r="I62" i="51"/>
  <c r="E62" i="51"/>
  <c r="T61" i="51"/>
  <c r="P61" i="51"/>
  <c r="I61" i="51"/>
  <c r="E61" i="51"/>
  <c r="T60" i="51"/>
  <c r="P60" i="51"/>
  <c r="I60" i="51"/>
  <c r="E60" i="51"/>
  <c r="T59" i="51"/>
  <c r="P59" i="51"/>
  <c r="I59" i="51"/>
  <c r="E59" i="51"/>
  <c r="T58" i="51"/>
  <c r="P58" i="51"/>
  <c r="I58" i="51"/>
  <c r="E58" i="51"/>
  <c r="T57" i="51"/>
  <c r="P57" i="51"/>
  <c r="I57" i="51"/>
  <c r="E57" i="51"/>
  <c r="Q55" i="51"/>
  <c r="T55" i="51" s="1"/>
  <c r="M55" i="51"/>
  <c r="P55" i="51" s="1"/>
  <c r="F55" i="51"/>
  <c r="I55" i="51" s="1"/>
  <c r="B55" i="51"/>
  <c r="E55" i="51" s="1"/>
  <c r="T51" i="51"/>
  <c r="P51" i="51"/>
  <c r="I51" i="51"/>
  <c r="E51" i="51"/>
  <c r="T50" i="51"/>
  <c r="P50" i="51"/>
  <c r="I50" i="51"/>
  <c r="E50" i="51"/>
  <c r="T49" i="51"/>
  <c r="P49" i="51"/>
  <c r="I49" i="51"/>
  <c r="E49" i="51"/>
  <c r="T48" i="51"/>
  <c r="P48" i="51"/>
  <c r="I48" i="51"/>
  <c r="E48" i="51"/>
  <c r="T47" i="51"/>
  <c r="P47" i="51"/>
  <c r="I47" i="51"/>
  <c r="E47" i="51"/>
  <c r="T46" i="51"/>
  <c r="P46" i="51"/>
  <c r="I46" i="51"/>
  <c r="E46" i="51"/>
  <c r="T45" i="51"/>
  <c r="P45" i="51"/>
  <c r="I45" i="51"/>
  <c r="E45" i="51"/>
  <c r="T44" i="51"/>
  <c r="P44" i="51"/>
  <c r="I44" i="51"/>
  <c r="E44" i="51"/>
  <c r="Q42" i="51"/>
  <c r="T42" i="51" s="1"/>
  <c r="M42" i="51"/>
  <c r="P42" i="51" s="1"/>
  <c r="F42" i="51"/>
  <c r="I42" i="51" s="1"/>
  <c r="B42" i="51"/>
  <c r="E42" i="51" s="1"/>
  <c r="T38" i="51"/>
  <c r="P38" i="51"/>
  <c r="I38" i="51"/>
  <c r="E38" i="51"/>
  <c r="T37" i="51"/>
  <c r="P37" i="51"/>
  <c r="I37" i="51"/>
  <c r="E37" i="51"/>
  <c r="T36" i="51"/>
  <c r="P36" i="51"/>
  <c r="I36" i="51"/>
  <c r="E36" i="51"/>
  <c r="T35" i="51"/>
  <c r="P35" i="51"/>
  <c r="I35" i="51"/>
  <c r="E35" i="51"/>
  <c r="T34" i="51"/>
  <c r="P34" i="51"/>
  <c r="I34" i="51"/>
  <c r="E34" i="51"/>
  <c r="T33" i="51"/>
  <c r="P33" i="51"/>
  <c r="I33" i="51"/>
  <c r="E33" i="51"/>
  <c r="T32" i="51"/>
  <c r="P32" i="51"/>
  <c r="I32" i="51"/>
  <c r="E32" i="51"/>
  <c r="T31" i="51"/>
  <c r="P31" i="51"/>
  <c r="I31" i="51"/>
  <c r="E31" i="51"/>
  <c r="Q29" i="51"/>
  <c r="T29" i="51" s="1"/>
  <c r="M29" i="51"/>
  <c r="P29" i="51" s="1"/>
  <c r="F29" i="51"/>
  <c r="I29" i="51" s="1"/>
  <c r="B29" i="51"/>
  <c r="E29" i="51" s="1"/>
  <c r="G21" i="51"/>
  <c r="G20" i="51"/>
  <c r="G19" i="51"/>
  <c r="G18" i="51"/>
  <c r="N4" i="49"/>
  <c r="AO17" i="44"/>
  <c r="E57" i="48"/>
  <c r="I57" i="48"/>
  <c r="P57" i="48"/>
  <c r="T57" i="48"/>
  <c r="E58" i="48"/>
  <c r="I58" i="48"/>
  <c r="P58" i="48"/>
  <c r="T58" i="48"/>
  <c r="E59" i="48"/>
  <c r="I59" i="48"/>
  <c r="P59" i="48"/>
  <c r="T59" i="48"/>
  <c r="E60" i="48"/>
  <c r="I60" i="48"/>
  <c r="P60" i="48"/>
  <c r="T60" i="48"/>
  <c r="E61" i="48"/>
  <c r="I61" i="48"/>
  <c r="P61" i="48"/>
  <c r="T61" i="48"/>
  <c r="E62" i="48"/>
  <c r="I62" i="48"/>
  <c r="P62" i="48"/>
  <c r="T62" i="48"/>
  <c r="E63" i="48"/>
  <c r="I63" i="48"/>
  <c r="P63" i="48"/>
  <c r="T63" i="48"/>
  <c r="E64" i="48"/>
  <c r="I64" i="48"/>
  <c r="P64" i="48"/>
  <c r="T64" i="48"/>
  <c r="B55" i="48"/>
  <c r="E55" i="48"/>
  <c r="F55" i="48"/>
  <c r="I55" i="48"/>
  <c r="M55" i="48"/>
  <c r="P55" i="48"/>
  <c r="Q55" i="48"/>
  <c r="T55" i="48"/>
  <c r="E44" i="48"/>
  <c r="I44" i="48"/>
  <c r="P44" i="48"/>
  <c r="T44" i="48"/>
  <c r="E45" i="48"/>
  <c r="I45" i="48"/>
  <c r="P45" i="48"/>
  <c r="T45" i="48"/>
  <c r="E46" i="48"/>
  <c r="I46" i="48"/>
  <c r="P46" i="48"/>
  <c r="T46" i="48"/>
  <c r="E47" i="48"/>
  <c r="I47" i="48"/>
  <c r="P47" i="48"/>
  <c r="T47" i="48"/>
  <c r="E48" i="48"/>
  <c r="I48" i="48"/>
  <c r="P48" i="48"/>
  <c r="T48" i="48"/>
  <c r="E49" i="48"/>
  <c r="I49" i="48"/>
  <c r="P49" i="48"/>
  <c r="T49" i="48"/>
  <c r="E50" i="48"/>
  <c r="I50" i="48"/>
  <c r="P50" i="48"/>
  <c r="T50" i="48"/>
  <c r="E51" i="48"/>
  <c r="I51" i="48"/>
  <c r="P51" i="48"/>
  <c r="T51" i="48"/>
  <c r="B42" i="48"/>
  <c r="E42" i="48"/>
  <c r="F42" i="48"/>
  <c r="I42" i="48"/>
  <c r="M42" i="48"/>
  <c r="P42" i="48"/>
  <c r="Q42" i="48"/>
  <c r="T42" i="48"/>
  <c r="E31" i="48"/>
  <c r="I31" i="48"/>
  <c r="P31" i="48"/>
  <c r="T31" i="48"/>
  <c r="E32" i="48"/>
  <c r="I32" i="48"/>
  <c r="P32" i="48"/>
  <c r="T32" i="48"/>
  <c r="E33" i="48"/>
  <c r="I33" i="48"/>
  <c r="P33" i="48"/>
  <c r="T33" i="48"/>
  <c r="E34" i="48"/>
  <c r="I34" i="48"/>
  <c r="P34" i="48"/>
  <c r="T34" i="48"/>
  <c r="E35" i="48"/>
  <c r="I35" i="48"/>
  <c r="P35" i="48"/>
  <c r="T35" i="48"/>
  <c r="E36" i="48"/>
  <c r="I36" i="48"/>
  <c r="P36" i="48"/>
  <c r="T36" i="48"/>
  <c r="E37" i="48"/>
  <c r="I37" i="48"/>
  <c r="P37" i="48"/>
  <c r="T37" i="48"/>
  <c r="E38" i="48"/>
  <c r="I38" i="48"/>
  <c r="P38" i="48"/>
  <c r="T38" i="48"/>
  <c r="B29" i="48"/>
  <c r="E29" i="48"/>
  <c r="F29" i="48"/>
  <c r="I29" i="48"/>
  <c r="M29" i="48"/>
  <c r="P29" i="48"/>
  <c r="Q29" i="48"/>
  <c r="T29" i="48"/>
  <c r="G18" i="48"/>
  <c r="G19" i="48"/>
  <c r="G20" i="48"/>
  <c r="G21" i="48"/>
  <c r="T64" i="47"/>
  <c r="P64" i="47"/>
  <c r="I64" i="47"/>
  <c r="E64" i="47"/>
  <c r="T63" i="47"/>
  <c r="P63" i="47"/>
  <c r="I63" i="47"/>
  <c r="E63" i="47"/>
  <c r="T62" i="47"/>
  <c r="P62" i="47"/>
  <c r="I62" i="47"/>
  <c r="E62" i="47"/>
  <c r="T61" i="47"/>
  <c r="P61" i="47"/>
  <c r="I61" i="47"/>
  <c r="E61" i="47"/>
  <c r="T60" i="47"/>
  <c r="P60" i="47"/>
  <c r="I60" i="47"/>
  <c r="E60" i="47"/>
  <c r="T59" i="47"/>
  <c r="P59" i="47"/>
  <c r="I59" i="47"/>
  <c r="E59" i="47"/>
  <c r="T58" i="47"/>
  <c r="P58" i="47"/>
  <c r="I58" i="47"/>
  <c r="E58" i="47"/>
  <c r="T57" i="47"/>
  <c r="P57" i="47"/>
  <c r="I57" i="47"/>
  <c r="E57" i="47"/>
  <c r="Q55" i="47"/>
  <c r="T55" i="47" s="1"/>
  <c r="M55" i="47"/>
  <c r="P55" i="47" s="1"/>
  <c r="F55" i="47"/>
  <c r="I55" i="47" s="1"/>
  <c r="B55" i="47"/>
  <c r="E55" i="47" s="1"/>
  <c r="T51" i="47"/>
  <c r="P51" i="47"/>
  <c r="I51" i="47"/>
  <c r="E51" i="47"/>
  <c r="T50" i="47"/>
  <c r="P50" i="47"/>
  <c r="I50" i="47"/>
  <c r="E50" i="47"/>
  <c r="T49" i="47"/>
  <c r="P49" i="47"/>
  <c r="I49" i="47"/>
  <c r="E49" i="47"/>
  <c r="T48" i="47"/>
  <c r="P48" i="47"/>
  <c r="I48" i="47"/>
  <c r="E48" i="47"/>
  <c r="T47" i="47"/>
  <c r="P47" i="47"/>
  <c r="I47" i="47"/>
  <c r="E47" i="47"/>
  <c r="T46" i="47"/>
  <c r="P46" i="47"/>
  <c r="I46" i="47"/>
  <c r="E46" i="47"/>
  <c r="T45" i="47"/>
  <c r="P45" i="47"/>
  <c r="I45" i="47"/>
  <c r="E45" i="47"/>
  <c r="T44" i="47"/>
  <c r="P44" i="47"/>
  <c r="I44" i="47"/>
  <c r="E44" i="47"/>
  <c r="Q42" i="47"/>
  <c r="T42" i="47" s="1"/>
  <c r="M42" i="47"/>
  <c r="P42" i="47" s="1"/>
  <c r="F42" i="47"/>
  <c r="I42" i="47" s="1"/>
  <c r="B42" i="47"/>
  <c r="E42" i="47" s="1"/>
  <c r="T38" i="47"/>
  <c r="P38" i="47"/>
  <c r="I38" i="47"/>
  <c r="E38" i="47"/>
  <c r="T37" i="47"/>
  <c r="P37" i="47"/>
  <c r="I37" i="47"/>
  <c r="E37" i="47"/>
  <c r="T36" i="47"/>
  <c r="P36" i="47"/>
  <c r="I36" i="47"/>
  <c r="E36" i="47"/>
  <c r="T35" i="47"/>
  <c r="P35" i="47"/>
  <c r="I35" i="47"/>
  <c r="E35" i="47"/>
  <c r="T34" i="47"/>
  <c r="P34" i="47"/>
  <c r="I34" i="47"/>
  <c r="E34" i="47"/>
  <c r="T33" i="47"/>
  <c r="P33" i="47"/>
  <c r="I33" i="47"/>
  <c r="E33" i="47"/>
  <c r="T32" i="47"/>
  <c r="P32" i="47"/>
  <c r="I32" i="47"/>
  <c r="E32" i="47"/>
  <c r="T31" i="47"/>
  <c r="P31" i="47"/>
  <c r="I31" i="47"/>
  <c r="E31" i="47"/>
  <c r="Q29" i="47"/>
  <c r="T29" i="47" s="1"/>
  <c r="M29" i="47"/>
  <c r="P29" i="47" s="1"/>
  <c r="F29" i="47"/>
  <c r="I29" i="47" s="1"/>
  <c r="B29" i="47"/>
  <c r="E29" i="47" s="1"/>
  <c r="G21" i="47"/>
  <c r="G20" i="47"/>
  <c r="G19" i="47"/>
  <c r="G18" i="47"/>
  <c r="T64" i="46"/>
  <c r="P64" i="46"/>
  <c r="I64" i="46"/>
  <c r="E64" i="46"/>
  <c r="T63" i="46"/>
  <c r="P63" i="46"/>
  <c r="I63" i="46"/>
  <c r="E63" i="46"/>
  <c r="T62" i="46"/>
  <c r="P62" i="46"/>
  <c r="I62" i="46"/>
  <c r="E62" i="46"/>
  <c r="T61" i="46"/>
  <c r="P61" i="46"/>
  <c r="I61" i="46"/>
  <c r="E61" i="46"/>
  <c r="T60" i="46"/>
  <c r="P60" i="46"/>
  <c r="I60" i="46"/>
  <c r="E60" i="46"/>
  <c r="T59" i="46"/>
  <c r="P59" i="46"/>
  <c r="I59" i="46"/>
  <c r="E59" i="46"/>
  <c r="T58" i="46"/>
  <c r="P58" i="46"/>
  <c r="I58" i="46"/>
  <c r="E58" i="46"/>
  <c r="T57" i="46"/>
  <c r="P57" i="46"/>
  <c r="I57" i="46"/>
  <c r="E57" i="46"/>
  <c r="Q55" i="46"/>
  <c r="T55" i="46" s="1"/>
  <c r="M55" i="46"/>
  <c r="P55" i="46" s="1"/>
  <c r="F55" i="46"/>
  <c r="I55" i="46" s="1"/>
  <c r="B55" i="46"/>
  <c r="E55" i="46" s="1"/>
  <c r="T51" i="46"/>
  <c r="P51" i="46"/>
  <c r="I51" i="46"/>
  <c r="E51" i="46"/>
  <c r="T50" i="46"/>
  <c r="P50" i="46"/>
  <c r="I50" i="46"/>
  <c r="E50" i="46"/>
  <c r="T49" i="46"/>
  <c r="P49" i="46"/>
  <c r="I49" i="46"/>
  <c r="E49" i="46"/>
  <c r="T48" i="46"/>
  <c r="P48" i="46"/>
  <c r="I48" i="46"/>
  <c r="E48" i="46"/>
  <c r="T47" i="46"/>
  <c r="P47" i="46"/>
  <c r="I47" i="46"/>
  <c r="E47" i="46"/>
  <c r="T46" i="46"/>
  <c r="P46" i="46"/>
  <c r="I46" i="46"/>
  <c r="E46" i="46"/>
  <c r="T45" i="46"/>
  <c r="P45" i="46"/>
  <c r="I45" i="46"/>
  <c r="E45" i="46"/>
  <c r="T44" i="46"/>
  <c r="P44" i="46"/>
  <c r="I44" i="46"/>
  <c r="E44" i="46"/>
  <c r="Q42" i="46"/>
  <c r="T42" i="46" s="1"/>
  <c r="M42" i="46"/>
  <c r="P42" i="46" s="1"/>
  <c r="F42" i="46"/>
  <c r="I42" i="46" s="1"/>
  <c r="B42" i="46"/>
  <c r="E42" i="46" s="1"/>
  <c r="T38" i="46"/>
  <c r="P38" i="46"/>
  <c r="I38" i="46"/>
  <c r="E38" i="46"/>
  <c r="T37" i="46"/>
  <c r="P37" i="46"/>
  <c r="I37" i="46"/>
  <c r="E37" i="46"/>
  <c r="T36" i="46"/>
  <c r="P36" i="46"/>
  <c r="I36" i="46"/>
  <c r="E36" i="46"/>
  <c r="T35" i="46"/>
  <c r="P35" i="46"/>
  <c r="I35" i="46"/>
  <c r="E35" i="46"/>
  <c r="T34" i="46"/>
  <c r="P34" i="46"/>
  <c r="I34" i="46"/>
  <c r="E34" i="46"/>
  <c r="T33" i="46"/>
  <c r="P33" i="46"/>
  <c r="I33" i="46"/>
  <c r="E33" i="46"/>
  <c r="T32" i="46"/>
  <c r="P32" i="46"/>
  <c r="I32" i="46"/>
  <c r="E32" i="46"/>
  <c r="T31" i="46"/>
  <c r="P31" i="46"/>
  <c r="I31" i="46"/>
  <c r="E31" i="46"/>
  <c r="Q29" i="46"/>
  <c r="T29" i="46" s="1"/>
  <c r="M29" i="46"/>
  <c r="P29" i="46" s="1"/>
  <c r="F29" i="46"/>
  <c r="I29" i="46" s="1"/>
  <c r="B29" i="46"/>
  <c r="E29" i="46" s="1"/>
  <c r="G21" i="46"/>
  <c r="G20" i="46"/>
  <c r="G19" i="46"/>
  <c r="G18" i="46"/>
  <c r="T64" i="45"/>
  <c r="P64" i="45"/>
  <c r="I64" i="45"/>
  <c r="E64" i="45"/>
  <c r="T63" i="45"/>
  <c r="P63" i="45"/>
  <c r="I63" i="45"/>
  <c r="E63" i="45"/>
  <c r="T62" i="45"/>
  <c r="P62" i="45"/>
  <c r="I62" i="45"/>
  <c r="E62" i="45"/>
  <c r="T61" i="45"/>
  <c r="P61" i="45"/>
  <c r="I61" i="45"/>
  <c r="E61" i="45"/>
  <c r="T60" i="45"/>
  <c r="P60" i="45"/>
  <c r="I60" i="45"/>
  <c r="E60" i="45"/>
  <c r="T59" i="45"/>
  <c r="P59" i="45"/>
  <c r="I59" i="45"/>
  <c r="E59" i="45"/>
  <c r="T58" i="45"/>
  <c r="P58" i="45"/>
  <c r="I58" i="45"/>
  <c r="E58" i="45"/>
  <c r="T57" i="45"/>
  <c r="P57" i="45"/>
  <c r="I57" i="45"/>
  <c r="E57" i="45"/>
  <c r="Q55" i="45"/>
  <c r="T55" i="45" s="1"/>
  <c r="M55" i="45"/>
  <c r="P55" i="45" s="1"/>
  <c r="F55" i="45"/>
  <c r="I55" i="45" s="1"/>
  <c r="B55" i="45"/>
  <c r="E55" i="45" s="1"/>
  <c r="T51" i="45"/>
  <c r="P51" i="45"/>
  <c r="I51" i="45"/>
  <c r="E51" i="45"/>
  <c r="T50" i="45"/>
  <c r="P50" i="45"/>
  <c r="I50" i="45"/>
  <c r="E50" i="45"/>
  <c r="T49" i="45"/>
  <c r="P49" i="45"/>
  <c r="I49" i="45"/>
  <c r="E49" i="45"/>
  <c r="T48" i="45"/>
  <c r="P48" i="45"/>
  <c r="I48" i="45"/>
  <c r="E48" i="45"/>
  <c r="T47" i="45"/>
  <c r="P47" i="45"/>
  <c r="I47" i="45"/>
  <c r="E47" i="45"/>
  <c r="T46" i="45"/>
  <c r="P46" i="45"/>
  <c r="I46" i="45"/>
  <c r="E46" i="45"/>
  <c r="T45" i="45"/>
  <c r="P45" i="45"/>
  <c r="I45" i="45"/>
  <c r="E45" i="45"/>
  <c r="T44" i="45"/>
  <c r="P44" i="45"/>
  <c r="I44" i="45"/>
  <c r="E44" i="45"/>
  <c r="Q42" i="45"/>
  <c r="T42" i="45" s="1"/>
  <c r="M42" i="45"/>
  <c r="P42" i="45" s="1"/>
  <c r="F42" i="45"/>
  <c r="I42" i="45" s="1"/>
  <c r="B42" i="45"/>
  <c r="E42" i="45" s="1"/>
  <c r="T38" i="45"/>
  <c r="P38" i="45"/>
  <c r="I38" i="45"/>
  <c r="E38" i="45"/>
  <c r="T37" i="45"/>
  <c r="P37" i="45"/>
  <c r="I37" i="45"/>
  <c r="E37" i="45"/>
  <c r="T36" i="45"/>
  <c r="P36" i="45"/>
  <c r="I36" i="45"/>
  <c r="E36" i="45"/>
  <c r="T35" i="45"/>
  <c r="P35" i="45"/>
  <c r="I35" i="45"/>
  <c r="E35" i="45"/>
  <c r="T34" i="45"/>
  <c r="P34" i="45"/>
  <c r="I34" i="45"/>
  <c r="E34" i="45"/>
  <c r="T33" i="45"/>
  <c r="P33" i="45"/>
  <c r="I33" i="45"/>
  <c r="E33" i="45"/>
  <c r="T32" i="45"/>
  <c r="P32" i="45"/>
  <c r="I32" i="45"/>
  <c r="E32" i="45"/>
  <c r="T31" i="45"/>
  <c r="P31" i="45"/>
  <c r="I31" i="45"/>
  <c r="E31" i="45"/>
  <c r="Q29" i="45"/>
  <c r="T29" i="45" s="1"/>
  <c r="M29" i="45"/>
  <c r="P29" i="45" s="1"/>
  <c r="F29" i="45"/>
  <c r="I29" i="45" s="1"/>
  <c r="B29" i="45"/>
  <c r="E29" i="45" s="1"/>
  <c r="G21" i="45"/>
  <c r="G20" i="45"/>
  <c r="G19" i="45"/>
  <c r="G18" i="45"/>
  <c r="AC17" i="44"/>
  <c r="W17" i="44"/>
  <c r="Q17" i="44"/>
  <c r="T64" i="43"/>
  <c r="P64" i="43"/>
  <c r="I64" i="43"/>
  <c r="E64" i="43"/>
  <c r="T63" i="43"/>
  <c r="P63" i="43"/>
  <c r="I63" i="43"/>
  <c r="E63" i="43"/>
  <c r="T62" i="43"/>
  <c r="P62" i="43"/>
  <c r="I62" i="43"/>
  <c r="E62" i="43"/>
  <c r="T61" i="43"/>
  <c r="P61" i="43"/>
  <c r="I61" i="43"/>
  <c r="E61" i="43"/>
  <c r="T60" i="43"/>
  <c r="P60" i="43"/>
  <c r="I60" i="43"/>
  <c r="E60" i="43"/>
  <c r="T59" i="43"/>
  <c r="P59" i="43"/>
  <c r="I59" i="43"/>
  <c r="E59" i="43"/>
  <c r="T58" i="43"/>
  <c r="P58" i="43"/>
  <c r="I58" i="43"/>
  <c r="E58" i="43"/>
  <c r="T57" i="43"/>
  <c r="P57" i="43"/>
  <c r="I57" i="43"/>
  <c r="E57" i="43"/>
  <c r="Q55" i="43"/>
  <c r="T55" i="43" s="1"/>
  <c r="M55" i="43"/>
  <c r="P55" i="43" s="1"/>
  <c r="F55" i="43"/>
  <c r="I55" i="43" s="1"/>
  <c r="B55" i="43"/>
  <c r="E55" i="43" s="1"/>
  <c r="T51" i="43"/>
  <c r="P51" i="43"/>
  <c r="I51" i="43"/>
  <c r="E51" i="43"/>
  <c r="T50" i="43"/>
  <c r="P50" i="43"/>
  <c r="I50" i="43"/>
  <c r="E50" i="43"/>
  <c r="T49" i="43"/>
  <c r="P49" i="43"/>
  <c r="I49" i="43"/>
  <c r="E49" i="43"/>
  <c r="T48" i="43"/>
  <c r="P48" i="43"/>
  <c r="I48" i="43"/>
  <c r="E48" i="43"/>
  <c r="T47" i="43"/>
  <c r="P47" i="43"/>
  <c r="I47" i="43"/>
  <c r="E47" i="43"/>
  <c r="T46" i="43"/>
  <c r="P46" i="43"/>
  <c r="I46" i="43"/>
  <c r="E46" i="43"/>
  <c r="T45" i="43"/>
  <c r="P45" i="43"/>
  <c r="I45" i="43"/>
  <c r="E45" i="43"/>
  <c r="T44" i="43"/>
  <c r="P44" i="43"/>
  <c r="I44" i="43"/>
  <c r="E44" i="43"/>
  <c r="Q42" i="43"/>
  <c r="T42" i="43" s="1"/>
  <c r="M42" i="43"/>
  <c r="P42" i="43" s="1"/>
  <c r="F42" i="43"/>
  <c r="I42" i="43" s="1"/>
  <c r="B42" i="43"/>
  <c r="E42" i="43" s="1"/>
  <c r="T38" i="43"/>
  <c r="P38" i="43"/>
  <c r="I38" i="43"/>
  <c r="E38" i="43"/>
  <c r="T37" i="43"/>
  <c r="P37" i="43"/>
  <c r="I37" i="43"/>
  <c r="E37" i="43"/>
  <c r="T36" i="43"/>
  <c r="P36" i="43"/>
  <c r="I36" i="43"/>
  <c r="E36" i="43"/>
  <c r="T35" i="43"/>
  <c r="P35" i="43"/>
  <c r="I35" i="43"/>
  <c r="E35" i="43"/>
  <c r="T34" i="43"/>
  <c r="P34" i="43"/>
  <c r="I34" i="43"/>
  <c r="E34" i="43"/>
  <c r="T33" i="43"/>
  <c r="P33" i="43"/>
  <c r="I33" i="43"/>
  <c r="E33" i="43"/>
  <c r="T32" i="43"/>
  <c r="P32" i="43"/>
  <c r="I32" i="43"/>
  <c r="E32" i="43"/>
  <c r="T31" i="43"/>
  <c r="P31" i="43"/>
  <c r="I31" i="43"/>
  <c r="E31" i="43"/>
  <c r="Q29" i="43"/>
  <c r="T29" i="43" s="1"/>
  <c r="M29" i="43"/>
  <c r="P29" i="43" s="1"/>
  <c r="F29" i="43"/>
  <c r="I29" i="43" s="1"/>
  <c r="B29" i="43"/>
  <c r="E29" i="43" s="1"/>
  <c r="G21" i="43"/>
  <c r="G20" i="43"/>
  <c r="G19" i="43"/>
  <c r="G18" i="43"/>
  <c r="W17" i="39"/>
  <c r="Q17" i="39"/>
  <c r="W16" i="39"/>
  <c r="Q16" i="39"/>
  <c r="E57" i="38"/>
  <c r="I57" i="38"/>
  <c r="P57" i="38"/>
  <c r="T57" i="38"/>
  <c r="E58" i="38"/>
  <c r="I58" i="38"/>
  <c r="P58" i="38"/>
  <c r="T58" i="38"/>
  <c r="E59" i="38"/>
  <c r="I59" i="38"/>
  <c r="P59" i="38"/>
  <c r="T59" i="38"/>
  <c r="E60" i="38"/>
  <c r="I60" i="38"/>
  <c r="P60" i="38"/>
  <c r="T60" i="38"/>
  <c r="E61" i="38"/>
  <c r="I61" i="38"/>
  <c r="P61" i="38"/>
  <c r="T61" i="38"/>
  <c r="E62" i="38"/>
  <c r="I62" i="38"/>
  <c r="P62" i="38"/>
  <c r="T62" i="38"/>
  <c r="E63" i="38"/>
  <c r="I63" i="38"/>
  <c r="P63" i="38"/>
  <c r="T63" i="38"/>
  <c r="E64" i="38"/>
  <c r="I64" i="38"/>
  <c r="P64" i="38"/>
  <c r="T64" i="38"/>
  <c r="B55" i="38"/>
  <c r="E55" i="38"/>
  <c r="F55" i="38"/>
  <c r="I55" i="38"/>
  <c r="M55" i="38"/>
  <c r="P55" i="38"/>
  <c r="Q55" i="38"/>
  <c r="T55" i="38"/>
  <c r="E44" i="38"/>
  <c r="I44" i="38"/>
  <c r="P44" i="38"/>
  <c r="T44" i="38"/>
  <c r="E45" i="38"/>
  <c r="I45" i="38"/>
  <c r="P45" i="38"/>
  <c r="T45" i="38"/>
  <c r="E46" i="38"/>
  <c r="I46" i="38"/>
  <c r="P46" i="38"/>
  <c r="T46" i="38"/>
  <c r="E47" i="38"/>
  <c r="I47" i="38"/>
  <c r="P47" i="38"/>
  <c r="T47" i="38"/>
  <c r="E48" i="38"/>
  <c r="I48" i="38"/>
  <c r="P48" i="38"/>
  <c r="T48" i="38"/>
  <c r="E49" i="38"/>
  <c r="I49" i="38"/>
  <c r="P49" i="38"/>
  <c r="T49" i="38"/>
  <c r="E50" i="38"/>
  <c r="I50" i="38"/>
  <c r="P50" i="38"/>
  <c r="T50" i="38"/>
  <c r="E51" i="38"/>
  <c r="I51" i="38"/>
  <c r="P51" i="38"/>
  <c r="T51" i="38"/>
  <c r="B42" i="38"/>
  <c r="E42" i="38"/>
  <c r="F42" i="38"/>
  <c r="I42" i="38"/>
  <c r="M42" i="38"/>
  <c r="P42" i="38"/>
  <c r="Q42" i="38"/>
  <c r="T42" i="38"/>
  <c r="E31" i="38"/>
  <c r="I31" i="38"/>
  <c r="P31" i="38"/>
  <c r="T31" i="38"/>
  <c r="E32" i="38"/>
  <c r="I32" i="38"/>
  <c r="P32" i="38"/>
  <c r="T32" i="38"/>
  <c r="E33" i="38"/>
  <c r="I33" i="38"/>
  <c r="P33" i="38"/>
  <c r="T33" i="38"/>
  <c r="E34" i="38"/>
  <c r="I34" i="38"/>
  <c r="P34" i="38"/>
  <c r="T34" i="38"/>
  <c r="E35" i="38"/>
  <c r="I35" i="38"/>
  <c r="P35" i="38"/>
  <c r="T35" i="38"/>
  <c r="E36" i="38"/>
  <c r="I36" i="38"/>
  <c r="P36" i="38"/>
  <c r="T36" i="38"/>
  <c r="E37" i="38"/>
  <c r="I37" i="38"/>
  <c r="P37" i="38"/>
  <c r="T37" i="38"/>
  <c r="E38" i="38"/>
  <c r="I38" i="38"/>
  <c r="P38" i="38"/>
  <c r="T38" i="38"/>
  <c r="B29" i="38"/>
  <c r="E29" i="38"/>
  <c r="F29" i="38"/>
  <c r="I29" i="38"/>
  <c r="M29" i="38"/>
  <c r="P29" i="38"/>
  <c r="Q29" i="38"/>
  <c r="T29" i="38"/>
  <c r="G18" i="38"/>
  <c r="G19" i="38"/>
  <c r="G20" i="38"/>
  <c r="G21" i="38"/>
  <c r="T64" i="37"/>
  <c r="P64" i="37"/>
  <c r="I64" i="37"/>
  <c r="E64" i="37"/>
  <c r="T63" i="37"/>
  <c r="P63" i="37"/>
  <c r="I63" i="37"/>
  <c r="E63" i="37"/>
  <c r="T62" i="37"/>
  <c r="P62" i="37"/>
  <c r="I62" i="37"/>
  <c r="E62" i="37"/>
  <c r="T61" i="37"/>
  <c r="P61" i="37"/>
  <c r="I61" i="37"/>
  <c r="E61" i="37"/>
  <c r="T60" i="37"/>
  <c r="P60" i="37"/>
  <c r="I60" i="37"/>
  <c r="E60" i="37"/>
  <c r="T59" i="37"/>
  <c r="P59" i="37"/>
  <c r="I59" i="37"/>
  <c r="E59" i="37"/>
  <c r="T58" i="37"/>
  <c r="P58" i="37"/>
  <c r="I58" i="37"/>
  <c r="E58" i="37"/>
  <c r="T57" i="37"/>
  <c r="P57" i="37"/>
  <c r="I57" i="37"/>
  <c r="E57" i="37"/>
  <c r="Q55" i="37"/>
  <c r="T55" i="37" s="1"/>
  <c r="M55" i="37"/>
  <c r="P55" i="37" s="1"/>
  <c r="F55" i="37"/>
  <c r="I55" i="37" s="1"/>
  <c r="B55" i="37"/>
  <c r="E55" i="37" s="1"/>
  <c r="T51" i="37"/>
  <c r="P51" i="37"/>
  <c r="I51" i="37"/>
  <c r="E51" i="37"/>
  <c r="T50" i="37"/>
  <c r="P50" i="37"/>
  <c r="I50" i="37"/>
  <c r="E50" i="37"/>
  <c r="T49" i="37"/>
  <c r="P49" i="37"/>
  <c r="I49" i="37"/>
  <c r="E49" i="37"/>
  <c r="T48" i="37"/>
  <c r="P48" i="37"/>
  <c r="I48" i="37"/>
  <c r="E48" i="37"/>
  <c r="T47" i="37"/>
  <c r="P47" i="37"/>
  <c r="I47" i="37"/>
  <c r="E47" i="37"/>
  <c r="T46" i="37"/>
  <c r="P46" i="37"/>
  <c r="I46" i="37"/>
  <c r="E46" i="37"/>
  <c r="T45" i="37"/>
  <c r="P45" i="37"/>
  <c r="I45" i="37"/>
  <c r="E45" i="37"/>
  <c r="T44" i="37"/>
  <c r="P44" i="37"/>
  <c r="I44" i="37"/>
  <c r="E44" i="37"/>
  <c r="Q42" i="37"/>
  <c r="T42" i="37" s="1"/>
  <c r="M42" i="37"/>
  <c r="P42" i="37" s="1"/>
  <c r="F42" i="37"/>
  <c r="I42" i="37" s="1"/>
  <c r="B42" i="37"/>
  <c r="E42" i="37" s="1"/>
  <c r="T38" i="37"/>
  <c r="P38" i="37"/>
  <c r="I38" i="37"/>
  <c r="E38" i="37"/>
  <c r="T37" i="37"/>
  <c r="P37" i="37"/>
  <c r="I37" i="37"/>
  <c r="E37" i="37"/>
  <c r="T36" i="37"/>
  <c r="P36" i="37"/>
  <c r="I36" i="37"/>
  <c r="E36" i="37"/>
  <c r="T35" i="37"/>
  <c r="P35" i="37"/>
  <c r="I35" i="37"/>
  <c r="E35" i="37"/>
  <c r="T34" i="37"/>
  <c r="P34" i="37"/>
  <c r="I34" i="37"/>
  <c r="E34" i="37"/>
  <c r="T33" i="37"/>
  <c r="P33" i="37"/>
  <c r="I33" i="37"/>
  <c r="E33" i="37"/>
  <c r="T32" i="37"/>
  <c r="P32" i="37"/>
  <c r="I32" i="37"/>
  <c r="E32" i="37"/>
  <c r="T31" i="37"/>
  <c r="P31" i="37"/>
  <c r="I31" i="37"/>
  <c r="E31" i="37"/>
  <c r="Q29" i="37"/>
  <c r="T29" i="37" s="1"/>
  <c r="M29" i="37"/>
  <c r="P29" i="37" s="1"/>
  <c r="F29" i="37"/>
  <c r="I29" i="37" s="1"/>
  <c r="B29" i="37"/>
  <c r="E29" i="37" s="1"/>
  <c r="G21" i="37"/>
  <c r="G20" i="37"/>
  <c r="G19" i="37"/>
  <c r="G18" i="37"/>
  <c r="T64" i="35"/>
  <c r="P64" i="35"/>
  <c r="I64" i="35"/>
  <c r="E64" i="35"/>
  <c r="T63" i="35"/>
  <c r="P63" i="35"/>
  <c r="I63" i="35"/>
  <c r="E63" i="35"/>
  <c r="T62" i="35"/>
  <c r="P62" i="35"/>
  <c r="I62" i="35"/>
  <c r="E62" i="35"/>
  <c r="T61" i="35"/>
  <c r="P61" i="35"/>
  <c r="I61" i="35"/>
  <c r="E61" i="35"/>
  <c r="T60" i="35"/>
  <c r="P60" i="35"/>
  <c r="I60" i="35"/>
  <c r="E60" i="35"/>
  <c r="T59" i="35"/>
  <c r="P59" i="35"/>
  <c r="I59" i="35"/>
  <c r="E59" i="35"/>
  <c r="T58" i="35"/>
  <c r="P58" i="35"/>
  <c r="I58" i="35"/>
  <c r="E58" i="35"/>
  <c r="T57" i="35"/>
  <c r="P57" i="35"/>
  <c r="I57" i="35"/>
  <c r="E57" i="35"/>
  <c r="Q55" i="35"/>
  <c r="T55" i="35" s="1"/>
  <c r="M55" i="35"/>
  <c r="P55" i="35" s="1"/>
  <c r="F55" i="35"/>
  <c r="I55" i="35" s="1"/>
  <c r="B55" i="35"/>
  <c r="E55" i="35" s="1"/>
  <c r="T51" i="35"/>
  <c r="P51" i="35"/>
  <c r="I51" i="35"/>
  <c r="E51" i="35"/>
  <c r="T50" i="35"/>
  <c r="P50" i="35"/>
  <c r="I50" i="35"/>
  <c r="E50" i="35"/>
  <c r="T49" i="35"/>
  <c r="P49" i="35"/>
  <c r="I49" i="35"/>
  <c r="E49" i="35"/>
  <c r="T48" i="35"/>
  <c r="P48" i="35"/>
  <c r="I48" i="35"/>
  <c r="E48" i="35"/>
  <c r="T47" i="35"/>
  <c r="P47" i="35"/>
  <c r="I47" i="35"/>
  <c r="E47" i="35"/>
  <c r="T46" i="35"/>
  <c r="P46" i="35"/>
  <c r="I46" i="35"/>
  <c r="E46" i="35"/>
  <c r="T45" i="35"/>
  <c r="P45" i="35"/>
  <c r="I45" i="35"/>
  <c r="E45" i="35"/>
  <c r="T44" i="35"/>
  <c r="P44" i="35"/>
  <c r="I44" i="35"/>
  <c r="E44" i="35"/>
  <c r="Q42" i="35"/>
  <c r="T42" i="35" s="1"/>
  <c r="M42" i="35"/>
  <c r="P42" i="35" s="1"/>
  <c r="F42" i="35"/>
  <c r="I42" i="35" s="1"/>
  <c r="B42" i="35"/>
  <c r="E42" i="35" s="1"/>
  <c r="T38" i="35"/>
  <c r="P38" i="35"/>
  <c r="I38" i="35"/>
  <c r="E38" i="35"/>
  <c r="T37" i="35"/>
  <c r="P37" i="35"/>
  <c r="I37" i="35"/>
  <c r="E37" i="35"/>
  <c r="T36" i="35"/>
  <c r="P36" i="35"/>
  <c r="I36" i="35"/>
  <c r="E36" i="35"/>
  <c r="T35" i="35"/>
  <c r="P35" i="35"/>
  <c r="I35" i="35"/>
  <c r="E35" i="35"/>
  <c r="T34" i="35"/>
  <c r="P34" i="35"/>
  <c r="I34" i="35"/>
  <c r="E34" i="35"/>
  <c r="T33" i="35"/>
  <c r="P33" i="35"/>
  <c r="I33" i="35"/>
  <c r="E33" i="35"/>
  <c r="T32" i="35"/>
  <c r="P32" i="35"/>
  <c r="I32" i="35"/>
  <c r="E32" i="35"/>
  <c r="T31" i="35"/>
  <c r="P31" i="35"/>
  <c r="I31" i="35"/>
  <c r="E31" i="35"/>
  <c r="Q29" i="35"/>
  <c r="T29" i="35" s="1"/>
  <c r="M29" i="35"/>
  <c r="P29" i="35" s="1"/>
  <c r="F29" i="35"/>
  <c r="I29" i="35" s="1"/>
  <c r="B29" i="35"/>
  <c r="E29" i="35" s="1"/>
  <c r="G21" i="35"/>
  <c r="G20" i="35"/>
  <c r="G19" i="35"/>
  <c r="G18" i="35"/>
  <c r="T64" i="34"/>
  <c r="P64" i="34"/>
  <c r="I64" i="34"/>
  <c r="E64" i="34"/>
  <c r="T63" i="34"/>
  <c r="P63" i="34"/>
  <c r="I63" i="34"/>
  <c r="E63" i="34"/>
  <c r="T62" i="34"/>
  <c r="P62" i="34"/>
  <c r="I62" i="34"/>
  <c r="E62" i="34"/>
  <c r="T61" i="34"/>
  <c r="P61" i="34"/>
  <c r="I61" i="34"/>
  <c r="E61" i="34"/>
  <c r="T60" i="34"/>
  <c r="P60" i="34"/>
  <c r="I60" i="34"/>
  <c r="E60" i="34"/>
  <c r="T59" i="34"/>
  <c r="P59" i="34"/>
  <c r="I59" i="34"/>
  <c r="E59" i="34"/>
  <c r="T58" i="34"/>
  <c r="P58" i="34"/>
  <c r="I58" i="34"/>
  <c r="E58" i="34"/>
  <c r="T57" i="34"/>
  <c r="P57" i="34"/>
  <c r="I57" i="34"/>
  <c r="E57" i="34"/>
  <c r="Q55" i="34"/>
  <c r="T55" i="34" s="1"/>
  <c r="M55" i="34"/>
  <c r="P55" i="34" s="1"/>
  <c r="F55" i="34"/>
  <c r="I55" i="34" s="1"/>
  <c r="B55" i="34"/>
  <c r="E55" i="34" s="1"/>
  <c r="T51" i="34"/>
  <c r="P51" i="34"/>
  <c r="I51" i="34"/>
  <c r="E51" i="34"/>
  <c r="T50" i="34"/>
  <c r="P50" i="34"/>
  <c r="I50" i="34"/>
  <c r="E50" i="34"/>
  <c r="T49" i="34"/>
  <c r="P49" i="34"/>
  <c r="I49" i="34"/>
  <c r="E49" i="34"/>
  <c r="T48" i="34"/>
  <c r="P48" i="34"/>
  <c r="I48" i="34"/>
  <c r="E48" i="34"/>
  <c r="T47" i="34"/>
  <c r="P47" i="34"/>
  <c r="I47" i="34"/>
  <c r="E47" i="34"/>
  <c r="T46" i="34"/>
  <c r="P46" i="34"/>
  <c r="I46" i="34"/>
  <c r="E46" i="34"/>
  <c r="T45" i="34"/>
  <c r="P45" i="34"/>
  <c r="I45" i="34"/>
  <c r="E45" i="34"/>
  <c r="T44" i="34"/>
  <c r="P44" i="34"/>
  <c r="I44" i="34"/>
  <c r="E44" i="34"/>
  <c r="Q42" i="34"/>
  <c r="T42" i="34" s="1"/>
  <c r="M42" i="34"/>
  <c r="P42" i="34" s="1"/>
  <c r="F42" i="34"/>
  <c r="I42" i="34" s="1"/>
  <c r="B42" i="34"/>
  <c r="E42" i="34" s="1"/>
  <c r="T38" i="34"/>
  <c r="P38" i="34"/>
  <c r="I38" i="34"/>
  <c r="E38" i="34"/>
  <c r="T37" i="34"/>
  <c r="P37" i="34"/>
  <c r="I37" i="34"/>
  <c r="E37" i="34"/>
  <c r="T36" i="34"/>
  <c r="P36" i="34"/>
  <c r="I36" i="34"/>
  <c r="E36" i="34"/>
  <c r="T35" i="34"/>
  <c r="P35" i="34"/>
  <c r="I35" i="34"/>
  <c r="E35" i="34"/>
  <c r="T34" i="34"/>
  <c r="P34" i="34"/>
  <c r="I34" i="34"/>
  <c r="E34" i="34"/>
  <c r="T33" i="34"/>
  <c r="P33" i="34"/>
  <c r="I33" i="34"/>
  <c r="E33" i="34"/>
  <c r="T32" i="34"/>
  <c r="P32" i="34"/>
  <c r="I32" i="34"/>
  <c r="E32" i="34"/>
  <c r="T31" i="34"/>
  <c r="P31" i="34"/>
  <c r="I31" i="34"/>
  <c r="E31" i="34"/>
  <c r="Q29" i="34"/>
  <c r="T29" i="34" s="1"/>
  <c r="M29" i="34"/>
  <c r="P29" i="34" s="1"/>
  <c r="F29" i="34"/>
  <c r="I29" i="34" s="1"/>
  <c r="B29" i="34"/>
  <c r="E29" i="34" s="1"/>
  <c r="G21" i="34"/>
  <c r="G20" i="34"/>
  <c r="G19" i="34"/>
  <c r="G18" i="34"/>
  <c r="E57" i="32"/>
  <c r="I57" i="32"/>
  <c r="P57" i="32"/>
  <c r="T57" i="32"/>
  <c r="E58" i="32"/>
  <c r="I58" i="32"/>
  <c r="P58" i="32"/>
  <c r="T58" i="32"/>
  <c r="E59" i="32"/>
  <c r="I59" i="32"/>
  <c r="P59" i="32"/>
  <c r="T59" i="32"/>
  <c r="E60" i="32"/>
  <c r="I60" i="32"/>
  <c r="P60" i="32"/>
  <c r="T60" i="32"/>
  <c r="E61" i="32"/>
  <c r="I61" i="32"/>
  <c r="P61" i="32"/>
  <c r="T61" i="32"/>
  <c r="E62" i="32"/>
  <c r="I62" i="32"/>
  <c r="P62" i="32"/>
  <c r="T62" i="32"/>
  <c r="E63" i="32"/>
  <c r="I63" i="32"/>
  <c r="P63" i="32"/>
  <c r="T63" i="32"/>
  <c r="E64" i="32"/>
  <c r="I64" i="32"/>
  <c r="P64" i="32"/>
  <c r="T64" i="32"/>
  <c r="B55" i="32"/>
  <c r="E55" i="32"/>
  <c r="F55" i="32"/>
  <c r="I55" i="32"/>
  <c r="M55" i="32"/>
  <c r="P55" i="32"/>
  <c r="Q55" i="32"/>
  <c r="T55" i="32"/>
  <c r="E44" i="32"/>
  <c r="I44" i="32"/>
  <c r="P44" i="32"/>
  <c r="T44" i="32"/>
  <c r="E45" i="32"/>
  <c r="I45" i="32"/>
  <c r="P45" i="32"/>
  <c r="T45" i="32"/>
  <c r="E46" i="32"/>
  <c r="I46" i="32"/>
  <c r="P46" i="32"/>
  <c r="T46" i="32"/>
  <c r="E47" i="32"/>
  <c r="I47" i="32"/>
  <c r="P47" i="32"/>
  <c r="T47" i="32"/>
  <c r="E48" i="32"/>
  <c r="I48" i="32"/>
  <c r="P48" i="32"/>
  <c r="T48" i="32"/>
  <c r="E49" i="32"/>
  <c r="I49" i="32"/>
  <c r="P49" i="32"/>
  <c r="T49" i="32"/>
  <c r="E50" i="32"/>
  <c r="I50" i="32"/>
  <c r="P50" i="32"/>
  <c r="T50" i="32"/>
  <c r="E51" i="32"/>
  <c r="I51" i="32"/>
  <c r="P51" i="32"/>
  <c r="T51" i="32"/>
  <c r="B42" i="32"/>
  <c r="E42" i="32"/>
  <c r="F42" i="32"/>
  <c r="I42" i="32"/>
  <c r="M42" i="32"/>
  <c r="P42" i="32"/>
  <c r="Q42" i="32"/>
  <c r="T42" i="32"/>
  <c r="E31" i="32"/>
  <c r="I31" i="32"/>
  <c r="P31" i="32"/>
  <c r="T31" i="32"/>
  <c r="E32" i="32"/>
  <c r="I32" i="32"/>
  <c r="P32" i="32"/>
  <c r="T32" i="32"/>
  <c r="E33" i="32"/>
  <c r="I33" i="32"/>
  <c r="P33" i="32"/>
  <c r="T33" i="32"/>
  <c r="E34" i="32"/>
  <c r="I34" i="32"/>
  <c r="P34" i="32"/>
  <c r="T34" i="32"/>
  <c r="E35" i="32"/>
  <c r="I35" i="32"/>
  <c r="P35" i="32"/>
  <c r="T35" i="32"/>
  <c r="E36" i="32"/>
  <c r="I36" i="32"/>
  <c r="P36" i="32"/>
  <c r="T36" i="32"/>
  <c r="E37" i="32"/>
  <c r="I37" i="32"/>
  <c r="P37" i="32"/>
  <c r="T37" i="32"/>
  <c r="E38" i="32"/>
  <c r="I38" i="32"/>
  <c r="P38" i="32"/>
  <c r="T38" i="32"/>
  <c r="B29" i="32"/>
  <c r="E29" i="32"/>
  <c r="F29" i="32"/>
  <c r="I29" i="32"/>
  <c r="M29" i="32"/>
  <c r="P29" i="32"/>
  <c r="Q29" i="32"/>
  <c r="T29" i="32"/>
  <c r="G18" i="32"/>
  <c r="G19" i="32"/>
  <c r="G20" i="32"/>
  <c r="G21" i="32"/>
  <c r="T64" i="30"/>
  <c r="P64" i="30"/>
  <c r="I64" i="30"/>
  <c r="E64" i="30"/>
  <c r="T63" i="30"/>
  <c r="P63" i="30"/>
  <c r="I63" i="30"/>
  <c r="E63" i="30"/>
  <c r="T62" i="30"/>
  <c r="P62" i="30"/>
  <c r="I62" i="30"/>
  <c r="E62" i="30"/>
  <c r="T61" i="30"/>
  <c r="P61" i="30"/>
  <c r="I61" i="30"/>
  <c r="E61" i="30"/>
  <c r="T60" i="30"/>
  <c r="P60" i="30"/>
  <c r="I60" i="30"/>
  <c r="E60" i="30"/>
  <c r="T59" i="30"/>
  <c r="P59" i="30"/>
  <c r="I59" i="30"/>
  <c r="E59" i="30"/>
  <c r="T58" i="30"/>
  <c r="P58" i="30"/>
  <c r="I58" i="30"/>
  <c r="E58" i="30"/>
  <c r="T57" i="30"/>
  <c r="P57" i="30"/>
  <c r="I57" i="30"/>
  <c r="E57" i="30"/>
  <c r="Q55" i="30"/>
  <c r="T55" i="30" s="1"/>
  <c r="M55" i="30"/>
  <c r="P55" i="30" s="1"/>
  <c r="F55" i="30"/>
  <c r="I55" i="30" s="1"/>
  <c r="B55" i="30"/>
  <c r="E55" i="30" s="1"/>
  <c r="T51" i="30"/>
  <c r="P51" i="30"/>
  <c r="I51" i="30"/>
  <c r="E51" i="30"/>
  <c r="T50" i="30"/>
  <c r="P50" i="30"/>
  <c r="I50" i="30"/>
  <c r="E50" i="30"/>
  <c r="T49" i="30"/>
  <c r="P49" i="30"/>
  <c r="I49" i="30"/>
  <c r="E49" i="30"/>
  <c r="T48" i="30"/>
  <c r="P48" i="30"/>
  <c r="I48" i="30"/>
  <c r="E48" i="30"/>
  <c r="T47" i="30"/>
  <c r="P47" i="30"/>
  <c r="I47" i="30"/>
  <c r="E47" i="30"/>
  <c r="T46" i="30"/>
  <c r="P46" i="30"/>
  <c r="I46" i="30"/>
  <c r="E46" i="30"/>
  <c r="T45" i="30"/>
  <c r="P45" i="30"/>
  <c r="I45" i="30"/>
  <c r="E45" i="30"/>
  <c r="T44" i="30"/>
  <c r="P44" i="30"/>
  <c r="I44" i="30"/>
  <c r="E44" i="30"/>
  <c r="Q42" i="30"/>
  <c r="T42" i="30" s="1"/>
  <c r="M42" i="30"/>
  <c r="P42" i="30" s="1"/>
  <c r="F42" i="30"/>
  <c r="I42" i="30" s="1"/>
  <c r="B42" i="30"/>
  <c r="E42" i="30" s="1"/>
  <c r="T38" i="30"/>
  <c r="P38" i="30"/>
  <c r="I38" i="30"/>
  <c r="E38" i="30"/>
  <c r="T37" i="30"/>
  <c r="P37" i="30"/>
  <c r="I37" i="30"/>
  <c r="E37" i="30"/>
  <c r="T36" i="30"/>
  <c r="P36" i="30"/>
  <c r="I36" i="30"/>
  <c r="E36" i="30"/>
  <c r="T35" i="30"/>
  <c r="P35" i="30"/>
  <c r="I35" i="30"/>
  <c r="E35" i="30"/>
  <c r="T34" i="30"/>
  <c r="P34" i="30"/>
  <c r="I34" i="30"/>
  <c r="E34" i="30"/>
  <c r="T33" i="30"/>
  <c r="P33" i="30"/>
  <c r="I33" i="30"/>
  <c r="E33" i="30"/>
  <c r="T32" i="30"/>
  <c r="P32" i="30"/>
  <c r="I32" i="30"/>
  <c r="E32" i="30"/>
  <c r="T31" i="30"/>
  <c r="P31" i="30"/>
  <c r="I31" i="30"/>
  <c r="E31" i="30"/>
  <c r="Q29" i="30"/>
  <c r="T29" i="30" s="1"/>
  <c r="M29" i="30"/>
  <c r="P29" i="30" s="1"/>
  <c r="F29" i="30"/>
  <c r="I29" i="30" s="1"/>
  <c r="B29" i="30"/>
  <c r="E29" i="30" s="1"/>
  <c r="G21" i="30"/>
  <c r="G20" i="30"/>
  <c r="G19" i="30"/>
  <c r="G18" i="30"/>
  <c r="T64" i="27"/>
  <c r="P64" i="27"/>
  <c r="I64" i="27"/>
  <c r="E64" i="27"/>
  <c r="T63" i="27"/>
  <c r="P63" i="27"/>
  <c r="I63" i="27"/>
  <c r="E63" i="27"/>
  <c r="T62" i="27"/>
  <c r="P62" i="27"/>
  <c r="I62" i="27"/>
  <c r="E62" i="27"/>
  <c r="T61" i="27"/>
  <c r="P61" i="27"/>
  <c r="I61" i="27"/>
  <c r="E61" i="27"/>
  <c r="T60" i="27"/>
  <c r="P60" i="27"/>
  <c r="I60" i="27"/>
  <c r="E60" i="27"/>
  <c r="T59" i="27"/>
  <c r="P59" i="27"/>
  <c r="I59" i="27"/>
  <c r="E59" i="27"/>
  <c r="T58" i="27"/>
  <c r="P58" i="27"/>
  <c r="I58" i="27"/>
  <c r="E58" i="27"/>
  <c r="T57" i="27"/>
  <c r="P57" i="27"/>
  <c r="I57" i="27"/>
  <c r="E57" i="27"/>
  <c r="Q55" i="27"/>
  <c r="T55" i="27" s="1"/>
  <c r="M55" i="27"/>
  <c r="P55" i="27" s="1"/>
  <c r="F55" i="27"/>
  <c r="I55" i="27" s="1"/>
  <c r="B55" i="27"/>
  <c r="E55" i="27" s="1"/>
  <c r="T51" i="27"/>
  <c r="P51" i="27"/>
  <c r="I51" i="27"/>
  <c r="E51" i="27"/>
  <c r="T50" i="27"/>
  <c r="P50" i="27"/>
  <c r="I50" i="27"/>
  <c r="E50" i="27"/>
  <c r="T49" i="27"/>
  <c r="P49" i="27"/>
  <c r="I49" i="27"/>
  <c r="E49" i="27"/>
  <c r="T48" i="27"/>
  <c r="P48" i="27"/>
  <c r="I48" i="27"/>
  <c r="E48" i="27"/>
  <c r="T47" i="27"/>
  <c r="P47" i="27"/>
  <c r="I47" i="27"/>
  <c r="E47" i="27"/>
  <c r="T46" i="27"/>
  <c r="P46" i="27"/>
  <c r="I46" i="27"/>
  <c r="E46" i="27"/>
  <c r="T45" i="27"/>
  <c r="P45" i="27"/>
  <c r="I45" i="27"/>
  <c r="E45" i="27"/>
  <c r="T44" i="27"/>
  <c r="P44" i="27"/>
  <c r="I44" i="27"/>
  <c r="E44" i="27"/>
  <c r="Q42" i="27"/>
  <c r="T42" i="27" s="1"/>
  <c r="M42" i="27"/>
  <c r="P42" i="27" s="1"/>
  <c r="F42" i="27"/>
  <c r="I42" i="27" s="1"/>
  <c r="B42" i="27"/>
  <c r="E42" i="27" s="1"/>
  <c r="T38" i="27"/>
  <c r="P38" i="27"/>
  <c r="I38" i="27"/>
  <c r="E38" i="27"/>
  <c r="T37" i="27"/>
  <c r="P37" i="27"/>
  <c r="I37" i="27"/>
  <c r="E37" i="27"/>
  <c r="T36" i="27"/>
  <c r="P36" i="27"/>
  <c r="I36" i="27"/>
  <c r="E36" i="27"/>
  <c r="T35" i="27"/>
  <c r="P35" i="27"/>
  <c r="I35" i="27"/>
  <c r="E35" i="27"/>
  <c r="T34" i="27"/>
  <c r="P34" i="27"/>
  <c r="I34" i="27"/>
  <c r="E34" i="27"/>
  <c r="T33" i="27"/>
  <c r="P33" i="27"/>
  <c r="I33" i="27"/>
  <c r="E33" i="27"/>
  <c r="T32" i="27"/>
  <c r="P32" i="27"/>
  <c r="I32" i="27"/>
  <c r="E32" i="27"/>
  <c r="T31" i="27"/>
  <c r="P31" i="27"/>
  <c r="I31" i="27"/>
  <c r="E31" i="27"/>
  <c r="Q29" i="27"/>
  <c r="T29" i="27" s="1"/>
  <c r="M29" i="27"/>
  <c r="P29" i="27" s="1"/>
  <c r="F29" i="27"/>
  <c r="I29" i="27" s="1"/>
  <c r="B29" i="27"/>
  <c r="E29" i="27" s="1"/>
  <c r="G21" i="27"/>
  <c r="G20" i="27"/>
  <c r="G19" i="27"/>
  <c r="G18" i="27"/>
  <c r="T64" i="26"/>
  <c r="P64" i="26"/>
  <c r="I64" i="26"/>
  <c r="E64" i="26"/>
  <c r="T63" i="26"/>
  <c r="P63" i="26"/>
  <c r="I63" i="26"/>
  <c r="E63" i="26"/>
  <c r="T62" i="26"/>
  <c r="P62" i="26"/>
  <c r="I62" i="26"/>
  <c r="E62" i="26"/>
  <c r="T61" i="26"/>
  <c r="P61" i="26"/>
  <c r="I61" i="26"/>
  <c r="E61" i="26"/>
  <c r="T60" i="26"/>
  <c r="P60" i="26"/>
  <c r="I60" i="26"/>
  <c r="E60" i="26"/>
  <c r="T59" i="26"/>
  <c r="P59" i="26"/>
  <c r="I59" i="26"/>
  <c r="E59" i="26"/>
  <c r="T58" i="26"/>
  <c r="P58" i="26"/>
  <c r="I58" i="26"/>
  <c r="E58" i="26"/>
  <c r="T57" i="26"/>
  <c r="P57" i="26"/>
  <c r="I57" i="26"/>
  <c r="E57" i="26"/>
  <c r="Q55" i="26"/>
  <c r="T55" i="26" s="1"/>
  <c r="M55" i="26"/>
  <c r="P55" i="26" s="1"/>
  <c r="F55" i="26"/>
  <c r="I55" i="26" s="1"/>
  <c r="B55" i="26"/>
  <c r="E55" i="26" s="1"/>
  <c r="T51" i="26"/>
  <c r="P51" i="26"/>
  <c r="I51" i="26"/>
  <c r="E51" i="26"/>
  <c r="T50" i="26"/>
  <c r="P50" i="26"/>
  <c r="I50" i="26"/>
  <c r="E50" i="26"/>
  <c r="T49" i="26"/>
  <c r="P49" i="26"/>
  <c r="I49" i="26"/>
  <c r="E49" i="26"/>
  <c r="T48" i="26"/>
  <c r="P48" i="26"/>
  <c r="I48" i="26"/>
  <c r="E48" i="26"/>
  <c r="T47" i="26"/>
  <c r="P47" i="26"/>
  <c r="I47" i="26"/>
  <c r="E47" i="26"/>
  <c r="T46" i="26"/>
  <c r="P46" i="26"/>
  <c r="I46" i="26"/>
  <c r="E46" i="26"/>
  <c r="T45" i="26"/>
  <c r="P45" i="26"/>
  <c r="I45" i="26"/>
  <c r="E45" i="26"/>
  <c r="T44" i="26"/>
  <c r="P44" i="26"/>
  <c r="I44" i="26"/>
  <c r="E44" i="26"/>
  <c r="Q42" i="26"/>
  <c r="T42" i="26" s="1"/>
  <c r="M42" i="26"/>
  <c r="P42" i="26" s="1"/>
  <c r="F42" i="26"/>
  <c r="I42" i="26" s="1"/>
  <c r="B42" i="26"/>
  <c r="E42" i="26" s="1"/>
  <c r="T38" i="26"/>
  <c r="P38" i="26"/>
  <c r="I38" i="26"/>
  <c r="E38" i="26"/>
  <c r="T37" i="26"/>
  <c r="P37" i="26"/>
  <c r="I37" i="26"/>
  <c r="E37" i="26"/>
  <c r="T36" i="26"/>
  <c r="P36" i="26"/>
  <c r="I36" i="26"/>
  <c r="E36" i="26"/>
  <c r="T35" i="26"/>
  <c r="P35" i="26"/>
  <c r="I35" i="26"/>
  <c r="E35" i="26"/>
  <c r="T34" i="26"/>
  <c r="P34" i="26"/>
  <c r="I34" i="26"/>
  <c r="E34" i="26"/>
  <c r="T33" i="26"/>
  <c r="P33" i="26"/>
  <c r="I33" i="26"/>
  <c r="E33" i="26"/>
  <c r="T32" i="26"/>
  <c r="P32" i="26"/>
  <c r="I32" i="26"/>
  <c r="E32" i="26"/>
  <c r="T31" i="26"/>
  <c r="P31" i="26"/>
  <c r="I31" i="26"/>
  <c r="E31" i="26"/>
  <c r="Q29" i="26"/>
  <c r="T29" i="26" s="1"/>
  <c r="M29" i="26"/>
  <c r="P29" i="26" s="1"/>
  <c r="F29" i="26"/>
  <c r="I29" i="26" s="1"/>
  <c r="B29" i="26"/>
  <c r="E29" i="26" s="1"/>
  <c r="G21" i="26"/>
  <c r="G20" i="26"/>
  <c r="G19" i="26"/>
  <c r="G18" i="26"/>
  <c r="E57" i="25"/>
  <c r="I57" i="25"/>
  <c r="P57" i="25"/>
  <c r="T57" i="25"/>
  <c r="E58" i="25"/>
  <c r="I58" i="25"/>
  <c r="P58" i="25"/>
  <c r="T58" i="25"/>
  <c r="E59" i="25"/>
  <c r="I59" i="25"/>
  <c r="P59" i="25"/>
  <c r="T59" i="25"/>
  <c r="E60" i="25"/>
  <c r="I60" i="25"/>
  <c r="P60" i="25"/>
  <c r="T60" i="25"/>
  <c r="E61" i="25"/>
  <c r="I61" i="25"/>
  <c r="P61" i="25"/>
  <c r="T61" i="25"/>
  <c r="E62" i="25"/>
  <c r="I62" i="25"/>
  <c r="P62" i="25"/>
  <c r="T62" i="25"/>
  <c r="E63" i="25"/>
  <c r="I63" i="25"/>
  <c r="P63" i="25"/>
  <c r="T63" i="25"/>
  <c r="E64" i="25"/>
  <c r="I64" i="25"/>
  <c r="P64" i="25"/>
  <c r="T64" i="25"/>
  <c r="B55" i="25"/>
  <c r="E55" i="25"/>
  <c r="F55" i="25"/>
  <c r="I55" i="25"/>
  <c r="M55" i="25"/>
  <c r="P55" i="25"/>
  <c r="Q55" i="25"/>
  <c r="T55" i="25"/>
  <c r="E44" i="25"/>
  <c r="I44" i="25"/>
  <c r="P44" i="25"/>
  <c r="T44" i="25"/>
  <c r="E45" i="25"/>
  <c r="I45" i="25"/>
  <c r="P45" i="25"/>
  <c r="T45" i="25"/>
  <c r="E46" i="25"/>
  <c r="I46" i="25"/>
  <c r="P46" i="25"/>
  <c r="T46" i="25"/>
  <c r="E47" i="25"/>
  <c r="I47" i="25"/>
  <c r="P47" i="25"/>
  <c r="T47" i="25"/>
  <c r="E48" i="25"/>
  <c r="I48" i="25"/>
  <c r="P48" i="25"/>
  <c r="T48" i="25"/>
  <c r="E49" i="25"/>
  <c r="I49" i="25"/>
  <c r="P49" i="25"/>
  <c r="T49" i="25"/>
  <c r="E50" i="25"/>
  <c r="I50" i="25"/>
  <c r="P50" i="25"/>
  <c r="T50" i="25"/>
  <c r="E51" i="25"/>
  <c r="I51" i="25"/>
  <c r="P51" i="25"/>
  <c r="T51" i="25"/>
  <c r="B42" i="25"/>
  <c r="E42" i="25"/>
  <c r="F42" i="25"/>
  <c r="I42" i="25"/>
  <c r="M42" i="25"/>
  <c r="P42" i="25"/>
  <c r="Q42" i="25"/>
  <c r="T42" i="25"/>
  <c r="E31" i="25"/>
  <c r="I31" i="25"/>
  <c r="P31" i="25"/>
  <c r="T31" i="25"/>
  <c r="E32" i="25"/>
  <c r="I32" i="25"/>
  <c r="P32" i="25"/>
  <c r="T32" i="25"/>
  <c r="E33" i="25"/>
  <c r="I33" i="25"/>
  <c r="P33" i="25"/>
  <c r="T33" i="25"/>
  <c r="E34" i="25"/>
  <c r="I34" i="25"/>
  <c r="P34" i="25"/>
  <c r="T34" i="25"/>
  <c r="E35" i="25"/>
  <c r="I35" i="25"/>
  <c r="P35" i="25"/>
  <c r="T35" i="25"/>
  <c r="E36" i="25"/>
  <c r="I36" i="25"/>
  <c r="P36" i="25"/>
  <c r="T36" i="25"/>
  <c r="E37" i="25"/>
  <c r="I37" i="25"/>
  <c r="P37" i="25"/>
  <c r="T37" i="25"/>
  <c r="E38" i="25"/>
  <c r="I38" i="25"/>
  <c r="P38" i="25"/>
  <c r="T38" i="25"/>
  <c r="B29" i="25"/>
  <c r="E29" i="25"/>
  <c r="F29" i="25"/>
  <c r="I29" i="25"/>
  <c r="M29" i="25"/>
  <c r="P29" i="25"/>
  <c r="Q29" i="25"/>
  <c r="T29" i="25"/>
  <c r="G18" i="25"/>
  <c r="G19" i="25"/>
  <c r="G20" i="25"/>
  <c r="G21" i="25"/>
  <c r="E57" i="24"/>
  <c r="I57" i="24"/>
  <c r="P57" i="24"/>
  <c r="T57" i="24"/>
  <c r="E58" i="24"/>
  <c r="I58" i="24"/>
  <c r="P58" i="24"/>
  <c r="T58" i="24"/>
  <c r="E59" i="24"/>
  <c r="I59" i="24"/>
  <c r="P59" i="24"/>
  <c r="T59" i="24"/>
  <c r="E60" i="24"/>
  <c r="I60" i="24"/>
  <c r="P60" i="24"/>
  <c r="T60" i="24"/>
  <c r="E61" i="24"/>
  <c r="I61" i="24"/>
  <c r="P61" i="24"/>
  <c r="T61" i="24"/>
  <c r="E62" i="24"/>
  <c r="I62" i="24"/>
  <c r="P62" i="24"/>
  <c r="T62" i="24"/>
  <c r="E63" i="24"/>
  <c r="I63" i="24"/>
  <c r="P63" i="24"/>
  <c r="T63" i="24"/>
  <c r="E64" i="24"/>
  <c r="I64" i="24"/>
  <c r="P64" i="24"/>
  <c r="T64" i="24"/>
  <c r="B55" i="24"/>
  <c r="E55" i="24"/>
  <c r="F55" i="24"/>
  <c r="I55" i="24"/>
  <c r="M55" i="24"/>
  <c r="P55" i="24"/>
  <c r="Q55" i="24"/>
  <c r="T55" i="24"/>
  <c r="E44" i="24"/>
  <c r="I44" i="24"/>
  <c r="P44" i="24"/>
  <c r="T44" i="24"/>
  <c r="E45" i="24"/>
  <c r="I45" i="24"/>
  <c r="P45" i="24"/>
  <c r="T45" i="24"/>
  <c r="E46" i="24"/>
  <c r="I46" i="24"/>
  <c r="P46" i="24"/>
  <c r="T46" i="24"/>
  <c r="E47" i="24"/>
  <c r="I47" i="24"/>
  <c r="P47" i="24"/>
  <c r="T47" i="24"/>
  <c r="E48" i="24"/>
  <c r="I48" i="24"/>
  <c r="P48" i="24"/>
  <c r="T48" i="24"/>
  <c r="E49" i="24"/>
  <c r="I49" i="24"/>
  <c r="P49" i="24"/>
  <c r="T49" i="24"/>
  <c r="E50" i="24"/>
  <c r="I50" i="24"/>
  <c r="P50" i="24"/>
  <c r="T50" i="24"/>
  <c r="E51" i="24"/>
  <c r="I51" i="24"/>
  <c r="P51" i="24"/>
  <c r="T51" i="24"/>
  <c r="B42" i="24"/>
  <c r="E42" i="24"/>
  <c r="F42" i="24"/>
  <c r="I42" i="24"/>
  <c r="M42" i="24"/>
  <c r="P42" i="24"/>
  <c r="Q42" i="24"/>
  <c r="T42" i="24"/>
  <c r="E31" i="24"/>
  <c r="I31" i="24"/>
  <c r="P31" i="24"/>
  <c r="T31" i="24"/>
  <c r="E32" i="24"/>
  <c r="I32" i="24"/>
  <c r="P32" i="24"/>
  <c r="T32" i="24"/>
  <c r="E33" i="24"/>
  <c r="I33" i="24"/>
  <c r="P33" i="24"/>
  <c r="T33" i="24"/>
  <c r="E34" i="24"/>
  <c r="I34" i="24"/>
  <c r="P34" i="24"/>
  <c r="T34" i="24"/>
  <c r="E35" i="24"/>
  <c r="I35" i="24"/>
  <c r="P35" i="24"/>
  <c r="T35" i="24"/>
  <c r="E36" i="24"/>
  <c r="I36" i="24"/>
  <c r="P36" i="24"/>
  <c r="T36" i="24"/>
  <c r="E37" i="24"/>
  <c r="I37" i="24"/>
  <c r="P37" i="24"/>
  <c r="T37" i="24"/>
  <c r="E38" i="24"/>
  <c r="I38" i="24"/>
  <c r="P38" i="24"/>
  <c r="T38" i="24"/>
  <c r="B29" i="24"/>
  <c r="E29" i="24"/>
  <c r="F29" i="24"/>
  <c r="I29" i="24"/>
  <c r="M29" i="24"/>
  <c r="P29" i="24"/>
  <c r="Q29" i="24"/>
  <c r="T29" i="24"/>
  <c r="G18" i="24"/>
  <c r="G19" i="24"/>
  <c r="G20" i="24"/>
  <c r="G21" i="24"/>
  <c r="E57" i="23"/>
  <c r="I57" i="23"/>
  <c r="P57" i="23"/>
  <c r="T57" i="23"/>
  <c r="E58" i="23"/>
  <c r="I58" i="23"/>
  <c r="P58" i="23"/>
  <c r="T58" i="23"/>
  <c r="E59" i="23"/>
  <c r="I59" i="23"/>
  <c r="P59" i="23"/>
  <c r="T59" i="23"/>
  <c r="E60" i="23"/>
  <c r="I60" i="23"/>
  <c r="P60" i="23"/>
  <c r="T60" i="23"/>
  <c r="E61" i="23"/>
  <c r="I61" i="23"/>
  <c r="P61" i="23"/>
  <c r="T61" i="23"/>
  <c r="E62" i="23"/>
  <c r="I62" i="23"/>
  <c r="P62" i="23"/>
  <c r="T62" i="23"/>
  <c r="E63" i="23"/>
  <c r="I63" i="23"/>
  <c r="P63" i="23"/>
  <c r="T63" i="23"/>
  <c r="E64" i="23"/>
  <c r="I64" i="23"/>
  <c r="P64" i="23"/>
  <c r="T64" i="23"/>
  <c r="B55" i="23"/>
  <c r="E55" i="23"/>
  <c r="F55" i="23"/>
  <c r="I55" i="23"/>
  <c r="M55" i="23"/>
  <c r="P55" i="23"/>
  <c r="Q55" i="23"/>
  <c r="T55" i="23"/>
  <c r="E44" i="23"/>
  <c r="I44" i="23"/>
  <c r="P44" i="23"/>
  <c r="T44" i="23"/>
  <c r="E45" i="23"/>
  <c r="I45" i="23"/>
  <c r="P45" i="23"/>
  <c r="T45" i="23"/>
  <c r="E46" i="23"/>
  <c r="I46" i="23"/>
  <c r="P46" i="23"/>
  <c r="T46" i="23"/>
  <c r="E47" i="23"/>
  <c r="I47" i="23"/>
  <c r="P47" i="23"/>
  <c r="T47" i="23"/>
  <c r="E48" i="23"/>
  <c r="I48" i="23"/>
  <c r="P48" i="23"/>
  <c r="T48" i="23"/>
  <c r="E49" i="23"/>
  <c r="I49" i="23"/>
  <c r="P49" i="23"/>
  <c r="T49" i="23"/>
  <c r="E50" i="23"/>
  <c r="I50" i="23"/>
  <c r="P50" i="23"/>
  <c r="T50" i="23"/>
  <c r="E51" i="23"/>
  <c r="I51" i="23"/>
  <c r="P51" i="23"/>
  <c r="T51" i="23"/>
  <c r="B42" i="23"/>
  <c r="E42" i="23"/>
  <c r="F42" i="23"/>
  <c r="I42" i="23"/>
  <c r="M42" i="23"/>
  <c r="P42" i="23"/>
  <c r="Q42" i="23"/>
  <c r="T42" i="23"/>
  <c r="E31" i="23"/>
  <c r="I31" i="23"/>
  <c r="P31" i="23"/>
  <c r="T31" i="23"/>
  <c r="E32" i="23"/>
  <c r="I32" i="23"/>
  <c r="P32" i="23"/>
  <c r="T32" i="23"/>
  <c r="E33" i="23"/>
  <c r="I33" i="23"/>
  <c r="P33" i="23"/>
  <c r="T33" i="23"/>
  <c r="E34" i="23"/>
  <c r="I34" i="23"/>
  <c r="P34" i="23"/>
  <c r="T34" i="23"/>
  <c r="E35" i="23"/>
  <c r="I35" i="23"/>
  <c r="P35" i="23"/>
  <c r="T35" i="23"/>
  <c r="E36" i="23"/>
  <c r="I36" i="23"/>
  <c r="P36" i="23"/>
  <c r="T36" i="23"/>
  <c r="E37" i="23"/>
  <c r="I37" i="23"/>
  <c r="P37" i="23"/>
  <c r="T37" i="23"/>
  <c r="E38" i="23"/>
  <c r="I38" i="23"/>
  <c r="P38" i="23"/>
  <c r="T38" i="23"/>
  <c r="B29" i="23"/>
  <c r="E29" i="23"/>
  <c r="F29" i="23"/>
  <c r="I29" i="23"/>
  <c r="M29" i="23"/>
  <c r="P29" i="23"/>
  <c r="Q29" i="23"/>
  <c r="T29" i="23"/>
  <c r="G18" i="23"/>
  <c r="G19" i="23"/>
  <c r="G20" i="23"/>
  <c r="G21" i="23"/>
  <c r="V4" i="22"/>
  <c r="O4" i="22"/>
  <c r="V22" i="20"/>
  <c r="O22" i="20"/>
  <c r="T58" i="14"/>
  <c r="T59" i="14"/>
  <c r="T60" i="14"/>
  <c r="T61" i="14"/>
  <c r="T62" i="14"/>
  <c r="T63" i="14"/>
  <c r="T64" i="14"/>
  <c r="P58" i="14"/>
  <c r="P59" i="14"/>
  <c r="P60" i="14"/>
  <c r="P61" i="14"/>
  <c r="P62" i="14"/>
  <c r="P63" i="14"/>
  <c r="P64" i="14"/>
  <c r="I58" i="14"/>
  <c r="I59" i="14"/>
  <c r="I60" i="14"/>
  <c r="I61" i="14"/>
  <c r="I62" i="14"/>
  <c r="I63" i="14"/>
  <c r="I64" i="14"/>
  <c r="E58" i="14"/>
  <c r="E59" i="14"/>
  <c r="E60" i="14"/>
  <c r="E61" i="14"/>
  <c r="E62" i="14"/>
  <c r="E63" i="14"/>
  <c r="E64" i="14"/>
  <c r="T45" i="14"/>
  <c r="T46" i="14"/>
  <c r="T47" i="14"/>
  <c r="T48" i="14"/>
  <c r="T49" i="14"/>
  <c r="T50" i="14"/>
  <c r="T51" i="14"/>
  <c r="P45" i="14"/>
  <c r="P46" i="14"/>
  <c r="P47" i="14"/>
  <c r="P48" i="14"/>
  <c r="P49" i="14"/>
  <c r="P50" i="14"/>
  <c r="P51" i="14"/>
  <c r="I45" i="14"/>
  <c r="I46" i="14"/>
  <c r="I47" i="14"/>
  <c r="I48" i="14"/>
  <c r="I49" i="14"/>
  <c r="I50" i="14"/>
  <c r="I51" i="14"/>
  <c r="E45" i="14"/>
  <c r="E46" i="14"/>
  <c r="E47" i="14"/>
  <c r="E48" i="14"/>
  <c r="E49" i="14"/>
  <c r="E50" i="14"/>
  <c r="E51" i="14"/>
  <c r="T32" i="14"/>
  <c r="T33" i="14"/>
  <c r="T34" i="14"/>
  <c r="T35" i="14"/>
  <c r="T36" i="14"/>
  <c r="T37" i="14"/>
  <c r="T38" i="14"/>
  <c r="P32" i="14"/>
  <c r="P33" i="14"/>
  <c r="P34" i="14"/>
  <c r="P35" i="14"/>
  <c r="P36" i="14"/>
  <c r="P37" i="14"/>
  <c r="P38" i="14"/>
  <c r="I33" i="14"/>
  <c r="I34" i="14"/>
  <c r="I35" i="14"/>
  <c r="I36" i="14"/>
  <c r="I37" i="14"/>
  <c r="I38" i="14"/>
  <c r="I32" i="14"/>
  <c r="E32" i="14"/>
  <c r="E33" i="14"/>
  <c r="E34" i="14"/>
  <c r="E35" i="14"/>
  <c r="E36" i="14"/>
  <c r="E37" i="14"/>
  <c r="E38" i="14"/>
  <c r="T57" i="21"/>
  <c r="P57" i="21"/>
  <c r="I57" i="21"/>
  <c r="E57" i="21"/>
  <c r="Q55" i="21"/>
  <c r="T55" i="21" s="1"/>
  <c r="M55" i="21"/>
  <c r="P55" i="21" s="1"/>
  <c r="F55" i="21"/>
  <c r="I55" i="21" s="1"/>
  <c r="B55" i="21"/>
  <c r="E55" i="21" s="1"/>
  <c r="T44" i="21"/>
  <c r="P44" i="21"/>
  <c r="I44" i="21"/>
  <c r="E44" i="21"/>
  <c r="Q42" i="21"/>
  <c r="T42" i="21" s="1"/>
  <c r="M42" i="21"/>
  <c r="P42" i="21" s="1"/>
  <c r="F42" i="21"/>
  <c r="I42" i="21" s="1"/>
  <c r="B42" i="21"/>
  <c r="E42" i="21" s="1"/>
  <c r="T31" i="21"/>
  <c r="P31" i="21"/>
  <c r="I31" i="21"/>
  <c r="E31" i="21"/>
  <c r="Q29" i="21"/>
  <c r="T29" i="21" s="1"/>
  <c r="M29" i="21"/>
  <c r="P29" i="21" s="1"/>
  <c r="F29" i="21"/>
  <c r="I29" i="21" s="1"/>
  <c r="B29" i="21"/>
  <c r="E29" i="21" s="1"/>
  <c r="G21" i="21"/>
  <c r="G20" i="21"/>
  <c r="G19" i="21"/>
  <c r="G18" i="21"/>
  <c r="T57" i="19"/>
  <c r="P57" i="19"/>
  <c r="I57" i="19"/>
  <c r="E57" i="19"/>
  <c r="Q55" i="19"/>
  <c r="T55" i="19" s="1"/>
  <c r="M55" i="19"/>
  <c r="P55" i="19" s="1"/>
  <c r="F55" i="19"/>
  <c r="I55" i="19" s="1"/>
  <c r="B55" i="19"/>
  <c r="E55" i="19" s="1"/>
  <c r="T44" i="19"/>
  <c r="P44" i="19"/>
  <c r="I44" i="19"/>
  <c r="E44" i="19"/>
  <c r="Q42" i="19"/>
  <c r="T42" i="19" s="1"/>
  <c r="M42" i="19"/>
  <c r="P42" i="19" s="1"/>
  <c r="F42" i="19"/>
  <c r="I42" i="19" s="1"/>
  <c r="B42" i="19"/>
  <c r="E42" i="19" s="1"/>
  <c r="T31" i="19"/>
  <c r="P31" i="19"/>
  <c r="I31" i="19"/>
  <c r="E31" i="19"/>
  <c r="Q29" i="19"/>
  <c r="T29" i="19" s="1"/>
  <c r="M29" i="19"/>
  <c r="P29" i="19" s="1"/>
  <c r="F29" i="19"/>
  <c r="I29" i="19" s="1"/>
  <c r="B29" i="19"/>
  <c r="E29" i="19" s="1"/>
  <c r="G21" i="19"/>
  <c r="G20" i="19"/>
  <c r="G19" i="19"/>
  <c r="G18" i="19"/>
  <c r="A1" i="19"/>
  <c r="T57" i="18"/>
  <c r="P57" i="18"/>
  <c r="I57" i="18"/>
  <c r="E57" i="18"/>
  <c r="Q55" i="18"/>
  <c r="T55" i="18" s="1"/>
  <c r="M55" i="18"/>
  <c r="P55" i="18" s="1"/>
  <c r="F55" i="18"/>
  <c r="I55" i="18" s="1"/>
  <c r="B55" i="18"/>
  <c r="E55" i="18" s="1"/>
  <c r="T44" i="18"/>
  <c r="P44" i="18"/>
  <c r="I44" i="18"/>
  <c r="E44" i="18"/>
  <c r="Q42" i="18"/>
  <c r="T42" i="18" s="1"/>
  <c r="M42" i="18"/>
  <c r="P42" i="18" s="1"/>
  <c r="F42" i="18"/>
  <c r="I42" i="18" s="1"/>
  <c r="B42" i="18"/>
  <c r="E42" i="18" s="1"/>
  <c r="T31" i="18"/>
  <c r="P31" i="18"/>
  <c r="I31" i="18"/>
  <c r="E31" i="18"/>
  <c r="Q29" i="18"/>
  <c r="T29" i="18" s="1"/>
  <c r="M29" i="18"/>
  <c r="P29" i="18" s="1"/>
  <c r="F29" i="18"/>
  <c r="I29" i="18" s="1"/>
  <c r="B29" i="18"/>
  <c r="E29" i="18" s="1"/>
  <c r="G21" i="18"/>
  <c r="G20" i="18"/>
  <c r="G19" i="18"/>
  <c r="G18" i="18"/>
  <c r="A1" i="18"/>
  <c r="T57" i="17"/>
  <c r="P57" i="17"/>
  <c r="I57" i="17"/>
  <c r="E57" i="17"/>
  <c r="Q55" i="17"/>
  <c r="T55" i="17" s="1"/>
  <c r="M55" i="17"/>
  <c r="P55" i="17" s="1"/>
  <c r="F55" i="17"/>
  <c r="I55" i="17" s="1"/>
  <c r="B55" i="17"/>
  <c r="E55" i="17" s="1"/>
  <c r="T44" i="17"/>
  <c r="P44" i="17"/>
  <c r="I44" i="17"/>
  <c r="E44" i="17"/>
  <c r="Q42" i="17"/>
  <c r="T42" i="17" s="1"/>
  <c r="M42" i="17"/>
  <c r="P42" i="17" s="1"/>
  <c r="F42" i="17"/>
  <c r="I42" i="17" s="1"/>
  <c r="B42" i="17"/>
  <c r="E42" i="17" s="1"/>
  <c r="T31" i="17"/>
  <c r="P31" i="17"/>
  <c r="I31" i="17"/>
  <c r="E31" i="17"/>
  <c r="Q29" i="17"/>
  <c r="T29" i="17" s="1"/>
  <c r="M29" i="17"/>
  <c r="P29" i="17" s="1"/>
  <c r="F29" i="17"/>
  <c r="I29" i="17" s="1"/>
  <c r="B29" i="17"/>
  <c r="E29" i="17" s="1"/>
  <c r="G21" i="17"/>
  <c r="G20" i="17"/>
  <c r="G19" i="17"/>
  <c r="G18" i="17"/>
  <c r="A1" i="17"/>
  <c r="V33" i="15"/>
  <c r="S15" i="15"/>
  <c r="V28" i="15"/>
  <c r="P30" i="15"/>
  <c r="T57" i="14"/>
  <c r="P57" i="14"/>
  <c r="I57" i="14"/>
  <c r="E57" i="14"/>
  <c r="Q55" i="14"/>
  <c r="T55" i="14" s="1"/>
  <c r="M55" i="14"/>
  <c r="P55" i="14" s="1"/>
  <c r="F55" i="14"/>
  <c r="I55" i="14" s="1"/>
  <c r="B55" i="14"/>
  <c r="E55" i="14" s="1"/>
  <c r="T44" i="14"/>
  <c r="P44" i="14"/>
  <c r="I44" i="14"/>
  <c r="E44" i="14"/>
  <c r="Q42" i="14"/>
  <c r="T42" i="14" s="1"/>
  <c r="M42" i="14"/>
  <c r="P42" i="14" s="1"/>
  <c r="F42" i="14"/>
  <c r="I42" i="14" s="1"/>
  <c r="B42" i="14"/>
  <c r="E42" i="14" s="1"/>
  <c r="T31" i="14"/>
  <c r="P31" i="14"/>
  <c r="I31" i="14"/>
  <c r="E31" i="14"/>
  <c r="Q29" i="14"/>
  <c r="T29" i="14" s="1"/>
  <c r="M29" i="14"/>
  <c r="P29" i="14" s="1"/>
  <c r="F29" i="14"/>
  <c r="I29" i="14" s="1"/>
  <c r="B29" i="14"/>
  <c r="E29" i="14" s="1"/>
  <c r="G21" i="14"/>
  <c r="G20" i="14"/>
  <c r="G19" i="14"/>
  <c r="G18" i="14"/>
</calcChain>
</file>

<file path=xl/sharedStrings.xml><?xml version="1.0" encoding="utf-8"?>
<sst xmlns="http://schemas.openxmlformats.org/spreadsheetml/2006/main" count="5717" uniqueCount="571">
  <si>
    <t>INSIRA OS VALORES SOMENTE NAS COLUNAS EM VERMELHO</t>
  </si>
  <si>
    <t>COTA E</t>
  </si>
  <si>
    <t>VALOR OP</t>
  </si>
  <si>
    <t xml:space="preserve">VALOR
PAQUÍMETRO </t>
  </si>
  <si>
    <t>COTA  E INICIAL A</t>
  </si>
  <si>
    <t xml:space="preserve">OS VALORES EM VERDE
INSERIR NO CERTIFICADO </t>
  </si>
  <si>
    <t>COTA  E FINAL A</t>
  </si>
  <si>
    <t>COTA  E EMENDA A</t>
  </si>
  <si>
    <t xml:space="preserve">DIÂMETRO DO FURO </t>
  </si>
  <si>
    <t>⬆️NÃO MEXER ⬆️</t>
  </si>
  <si>
    <t>1° CONJUNTO  - A</t>
  </si>
  <si>
    <t>2° CONJUNTO  - B</t>
  </si>
  <si>
    <t>Cota "E" INICIAL</t>
  </si>
  <si>
    <t>VARIAÇÃO</t>
  </si>
  <si>
    <t>FINAL</t>
  </si>
  <si>
    <t>Cota "E" FINAL</t>
  </si>
  <si>
    <t>Cota "E" A</t>
  </si>
  <si>
    <t>Cota "E" B</t>
  </si>
  <si>
    <t>Cota "E"</t>
  </si>
  <si>
    <t xml:space="preserve">Cota "E" </t>
  </si>
  <si>
    <t>3° CONJUNTO  - C</t>
  </si>
  <si>
    <t>4° CONJUNTO  - D</t>
  </si>
  <si>
    <t>5° CONJUNTO  - E</t>
  </si>
  <si>
    <t>6° CONJUNTO  - F</t>
  </si>
  <si>
    <t>DESCRIÇÃO</t>
  </si>
  <si>
    <t>TIAGUINHO</t>
  </si>
  <si>
    <t>GALMETRO</t>
  </si>
  <si>
    <t>EDSON</t>
  </si>
  <si>
    <t>PRIORIDADE POR TRANSPORTADORA</t>
  </si>
  <si>
    <t>1° - EXPESSO SAO MIGUEL</t>
  </si>
  <si>
    <t>2º - NEW BIGTRANS</t>
  </si>
  <si>
    <t>3º - ALFA E RODONAVES</t>
  </si>
  <si>
    <t>Inspetor</t>
  </si>
  <si>
    <t>Status</t>
  </si>
  <si>
    <t>OP</t>
  </si>
  <si>
    <t>Previsão</t>
  </si>
  <si>
    <t>Pedido</t>
  </si>
  <si>
    <t>Cliente</t>
  </si>
  <si>
    <t>Qtd.</t>
  </si>
  <si>
    <t>Código Item</t>
  </si>
  <si>
    <t>Descrição</t>
  </si>
  <si>
    <t>Transportadora</t>
  </si>
  <si>
    <t>Item</t>
  </si>
  <si>
    <t>GEF</t>
  </si>
  <si>
    <t>DATA</t>
  </si>
  <si>
    <t>HORARIO</t>
  </si>
  <si>
    <t>EMP. ESQ. PÇ1</t>
  </si>
  <si>
    <t>BAT. ESQ. PÇ1</t>
  </si>
  <si>
    <t>BAT. DIR. PÇ1</t>
  </si>
  <si>
    <t>EMP. DIR. PÇ1</t>
  </si>
  <si>
    <t>CODIGO CASTANHA</t>
  </si>
  <si>
    <t>EMP. ESQ. PÇ2</t>
  </si>
  <si>
    <t>BAT. ESQ. PÇ2</t>
  </si>
  <si>
    <t>BAT. DIR. PÇ2</t>
  </si>
  <si>
    <t>EMP. DIR. PÇ2</t>
  </si>
  <si>
    <t>EMP. ESQ. PÇ3</t>
  </si>
  <si>
    <t>BAT. ESQ. PÇ3</t>
  </si>
  <si>
    <t>BAT. DIR. PÇ3</t>
  </si>
  <si>
    <t>EMP. DIR. PÇ3</t>
  </si>
  <si>
    <t>EMP. ESQ. PÇ4</t>
  </si>
  <si>
    <t>BAT. ESQ. PÇ4</t>
  </si>
  <si>
    <t>BAT. DIR. PÇ4</t>
  </si>
  <si>
    <t>EMP. DIR. PÇ4</t>
  </si>
  <si>
    <t>EMP. ESQ. PÇ5</t>
  </si>
  <si>
    <t>BAT. ESQ. PÇ5</t>
  </si>
  <si>
    <t>BAT. DIR. PÇ5</t>
  </si>
  <si>
    <t>EMP. DIR. PÇ5</t>
  </si>
  <si>
    <t>EMP. ESQ. PÇ6</t>
  </si>
  <si>
    <t>BAT. ESQ. PÇ6</t>
  </si>
  <si>
    <t>BAT. DIR. PÇ6</t>
  </si>
  <si>
    <t>EMP. DIR. PÇ6</t>
  </si>
  <si>
    <t>EMP. ESQ. PÇ7</t>
  </si>
  <si>
    <t>BAT. ESQ. PÇ7</t>
  </si>
  <si>
    <t>BAT. DIR. PÇ7</t>
  </si>
  <si>
    <t>EMP. DIR. PÇ7</t>
  </si>
  <si>
    <t>EMP. ESQ. PÇ8</t>
  </si>
  <si>
    <t>BAT. ESQ. PÇ8</t>
  </si>
  <si>
    <t>BAT. DIR. PÇ8</t>
  </si>
  <si>
    <t>EMP. DIR. PÇ8</t>
  </si>
  <si>
    <t>EMP. ESQ. PÇ9</t>
  </si>
  <si>
    <t>BAT. ESQ. PÇ9</t>
  </si>
  <si>
    <t>BAT. DIR. PÇ9</t>
  </si>
  <si>
    <t>EMP. DIR. PÇ9</t>
  </si>
  <si>
    <t>EMP. ESQ. PÇ10</t>
  </si>
  <si>
    <t>BAT. ESQ. PÇ10</t>
  </si>
  <si>
    <t>BAT. DIR. PÇ10</t>
  </si>
  <si>
    <t>EMP. DIR. PÇ10</t>
  </si>
  <si>
    <t xml:space="preserve">1° - Expresso São Miguel </t>
  </si>
  <si>
    <t>2º - New Bigtrans</t>
  </si>
  <si>
    <t>3º - Alfa e Rodonaves</t>
  </si>
  <si>
    <t>AAM DO BRASIL LTDA</t>
  </si>
  <si>
    <t>2R38-25K6-DFDCSS-960.5-1125-0,008(BD 6,35)(MOP)-FUSO DE ESFERAS CONJUNTO HELLE</t>
  </si>
  <si>
    <t>EXPRESSO SÃO MIGUEL S/A</t>
  </si>
  <si>
    <t>SF07AW1001</t>
  </si>
  <si>
    <t>1,0</t>
  </si>
  <si>
    <t>2R38-25K6-DFDCSS-960,5-1125-0,012(BD6,35) (MOP) - FUSO DE ESFERAS CONJUNTO HELLE</t>
  </si>
  <si>
    <t>TRANSJOI TRANSPORTES LTDA</t>
  </si>
  <si>
    <t>SD02K21012</t>
  </si>
  <si>
    <t>R50-5T6-OFSI-549-700-0,008 (MOP) - FUSO DE ESFERAS CONJUNTO GLEASON 275HC EIXO X</t>
  </si>
  <si>
    <t>EXPRESSO SAO MIGUEL LTDA</t>
  </si>
  <si>
    <t>SCHNELL BRASIL S.A. - INDUSTRIA DE MAQUINAS</t>
  </si>
  <si>
    <t>13,0</t>
  </si>
  <si>
    <t>RGR25-R171-H - GUIA LINEAR TRILHO - COTA E 15/6 C/ RETÍFICA NAS PONTAS</t>
  </si>
  <si>
    <t>RODONAVES-TRANSPORTES E ENCOMENDAS LTDA</t>
  </si>
  <si>
    <t>RUDOLPH USINADOS S/A</t>
  </si>
  <si>
    <t>2R25-20K4-DFSC-236-340-0,008(BD3,175) (MOP) - FUSO DE ESFERAS CONJUNTO DMG-MORI</t>
  </si>
  <si>
    <t>EXPRESSO SAO MIGUEL S/A</t>
  </si>
  <si>
    <t>QUARKS MAQUINAS CNC'S LTDA</t>
  </si>
  <si>
    <t>6,0</t>
  </si>
  <si>
    <t>HGR25-R4150-C - GUIA LINEAR TRILHO</t>
  </si>
  <si>
    <t>2,0</t>
  </si>
  <si>
    <t>HGR25-R4140-C - GUIA LINEAR TRILHO</t>
  </si>
  <si>
    <t>SMI ASSISTENCIA TECNICA INDUSTRIAL LTDA</t>
  </si>
  <si>
    <t>R20-5T3-FDI-450-574-0,010(BD3,175) (MOP) - FUSO DE ESFERAS CONJUNTO NARDINI LOGI</t>
  </si>
  <si>
    <t>R28-6K4-FDC-395-608-0,018 (MOP) - FUSO DE ESFERAS CONJUNTO ROMI GALAXY-30 EIXO X</t>
  </si>
  <si>
    <t>GLADII TECNOLOGIA EM METALURGIA LTDA</t>
  </si>
  <si>
    <t>4,0</t>
  </si>
  <si>
    <t>R63-10T6-FSI-2200-2840-0,05(BD6,35) - FUSO DE ESFERAS CONJUNTO</t>
  </si>
  <si>
    <t>MAHLE METAL LEVE S.A.</t>
  </si>
  <si>
    <t>R40-10T4-FSINW-2350,5-2500-0,05 - FUSO DE ESFERAS CONJUNTO</t>
  </si>
  <si>
    <t>NEW BIGTRANS TRANSPORTES LTDA</t>
  </si>
  <si>
    <t>OMR - COMPONENTES AUTOMOTIVOS LTDA</t>
  </si>
  <si>
    <t>7,0</t>
  </si>
  <si>
    <t>2R38-25K6-DFDCSS-1131-1295-0,012 (MOP) - FUSO DE ESFERAS CONJUNTO HELLER MC-25</t>
  </si>
  <si>
    <t>USABERGCNC LTDA</t>
  </si>
  <si>
    <t>3,0</t>
  </si>
  <si>
    <t>R20-5-450-520-0,05(BD3,175) - ES - FUSO DE ESFERAS</t>
  </si>
  <si>
    <t>BRASPRESS TRANSPORTES URGENTES LTDA</t>
  </si>
  <si>
    <t>METALURGICA RIOSULENSE S.A</t>
  </si>
  <si>
    <t>R36-12T3-FDI-753-1280-0,018(BD6,35) - FUSO DE ESFERAS CONJUNTO ROMI CENTUR-30.D</t>
  </si>
  <si>
    <t>UNIPLAS INDUST. COM. IMPOR E EXPORT DE MAQ. E PLASTICOS LTDA</t>
  </si>
  <si>
    <t>2R40-20-828,5-1002,5-0,05(BD6,35) - FUSO DE ESFERAS</t>
  </si>
  <si>
    <t>MTE-THOMSON INDUSTRIA E COMERCIO LTDA</t>
  </si>
  <si>
    <t>R16-5T3-FSI-400-487-0,05(BD3,175) - FUSO DE ESFERAS CONJUNTO</t>
  </si>
  <si>
    <t>ALFA TRANSPORTES ESPECIAIS LTDA</t>
  </si>
  <si>
    <t>SF026C3015</t>
  </si>
  <si>
    <t>FACCHINI S/A</t>
  </si>
  <si>
    <t>R32-5T4-FSI-0,05(BD3,175) - CASTANHA ADAPTADA</t>
  </si>
  <si>
    <t>JAMEF TRANSPORTES LIMITADA</t>
  </si>
  <si>
    <t>AGOMAQ MAQUINAS INDUSTRIAIS LTDA</t>
  </si>
  <si>
    <t>CGR25-R250-C+CSB - GUIA LINEAR TRILHO</t>
  </si>
  <si>
    <t>COMPANHIA BRASILEIRA DE CARTUCHOS</t>
  </si>
  <si>
    <t>R16-10-336-415,7-0,05(BD3,175) - FUSO DE ESFERAS</t>
  </si>
  <si>
    <t>MR MAQUINAS E SERVICOS INDUSTRIAIS LTDA</t>
  </si>
  <si>
    <t>R20-5T3-FSI-234-305-0,010(BD3,175) (MOP) - FUSO DE ESFERAS CONJUNTO HANWHA XP-16</t>
  </si>
  <si>
    <t>R20-5T3-FSI-367-438-0,008(BD3,175) (MOP) - FUSO DE ESFERAS CONJUNTO HANWHA XP-16</t>
  </si>
  <si>
    <t>R20-5T3-FSI-286-357-0,008(BD3,175) (MOP) - FUSO DE ESFERAS CONJUNTO HANWHA XP-16</t>
  </si>
  <si>
    <t>R20-5T3-FSI-151-264-0,008(BD3,175) (MOP) - FUSO DE ESFERAS CONJUNTO HANWHA XP-16</t>
  </si>
  <si>
    <t>HECE MAQUINAS LTDA</t>
  </si>
  <si>
    <t>2R32-20-607-839-0,05(BD6,35) - FUSO DE ESFERAS</t>
  </si>
  <si>
    <t>THOME HORN TECHNOLOGY LTDA</t>
  </si>
  <si>
    <t>R40-5T6-FSI-400-555-0,05(BD3,175) - FUSO DE ESFERAS CONJUNTO FILHA</t>
  </si>
  <si>
    <t>SF043V3005</t>
  </si>
  <si>
    <t>SF043V3007</t>
  </si>
  <si>
    <t>SF043V3006</t>
  </si>
  <si>
    <t>R20-5K4-FSC-1231-1260-0,05(BD3,175) - ES - FUSO DE ESFERAS CONJUNTO</t>
  </si>
  <si>
    <t>SF053H1001</t>
  </si>
  <si>
    <t>SF053H1005</t>
  </si>
  <si>
    <t>SF053H1003</t>
  </si>
  <si>
    <t>CGR15-R1270-C+CSB - GUIA LINEAR TRILHO C/ COVER</t>
  </si>
  <si>
    <t>BT COMERCIO E INDUSTRIA LTDA</t>
  </si>
  <si>
    <t>R32-10T3-FSINW-490-647,5-0,05(BD6,35) - FUSO DE ESFERAS CONJUNTO</t>
  </si>
  <si>
    <t>SE06QU3003</t>
  </si>
  <si>
    <t>Galvonotech</t>
  </si>
  <si>
    <t>GALMETA TRATAMENTO DE SUPERFICIES LTDA</t>
  </si>
  <si>
    <t>4R40-40-1940-2328,5-0,05(BD6,35)-FUSO DE ESFERAS IRBI</t>
  </si>
  <si>
    <t>.</t>
  </si>
  <si>
    <t>PÇ03</t>
  </si>
  <si>
    <t>PÇ04</t>
  </si>
  <si>
    <t>SGLASS IND. E COM. DE MAQUINAS LTDA</t>
  </si>
  <si>
    <t>R16-5T3-FSI-220-285-0,05(BD3,175) - FUSO DE ESFERAS CONJUNTO</t>
  </si>
  <si>
    <t>SE0EKY5009</t>
  </si>
  <si>
    <t>RGR25-R1230-H - GUIA LINEAR TRILHO - COTA E 15/15  C/ RETÍFICA NAS PONTAS</t>
  </si>
  <si>
    <t>CGH15-CA-Z0-C - GUIA LINEAR BLOCO SGLASS FURO M4 GUIA LINEAR BLOCO</t>
  </si>
  <si>
    <t>R25-5T4-FSINW-1328-1415-0,05(BD3,175) - FUSO DE ESFERAS CONJUNTO</t>
  </si>
  <si>
    <t>SF084J1001</t>
  </si>
  <si>
    <t>METALURGICA CORTESA LTDA</t>
  </si>
  <si>
    <t>HGR25-R6700-C - E1=20 - E2=20 - GUIA LINEAR TRILHO COM EMENDA</t>
  </si>
  <si>
    <t>R16-10T3-FSI-280-326-0,05(BD3,175) - FUSO DE ESFERAS CONJUNTO</t>
  </si>
  <si>
    <t>R16-5T3-FSI-690-777-0,05(BD3,175) - FUSO DE ESFERAS CONJUNTO</t>
  </si>
  <si>
    <t>CASTANHA NA FRESA</t>
  </si>
  <si>
    <t>R50-10T4-FDI-719-922-0,023(BD6,35) - FUSO DE ESFERAS CONJUNTO PROMECOR MAQ.1 EIX</t>
  </si>
  <si>
    <t>ERGOMAT INDUSTRIA E COMERCIO LTDA.</t>
  </si>
  <si>
    <t>R32-10T3-FSINW-558-713-0,023 (BD6,350) - FUSO DE ESFERAS CONJUNTO</t>
  </si>
  <si>
    <t>DSC-32-50-PO - DATORKER STRAIN WAVE GEAR + FLANGE DE INTERLIG COM TRATAMENTO CRO</t>
  </si>
  <si>
    <t>ZION MAQUINAS E TECNOLOGIA LTDA</t>
  </si>
  <si>
    <t>FLANGE - DSC-40-100-PO ACOPLAMENTO REDUTOR</t>
  </si>
  <si>
    <t>EIXO ACOPLAMENTO - DSC-40-100-PO ACOPLAMENTO REDUTOR</t>
  </si>
  <si>
    <t>BUCHA DE ENCOSTO - ACOPLAMENTO REDUTOR</t>
  </si>
  <si>
    <t>2R32-20-650-771-0,05(BD3,969) - FUSO DE ESFERAS</t>
  </si>
  <si>
    <t>4R38-40-1049,8-1170,8-0,05(BD6,350) - FUSO DE ESFERAS</t>
  </si>
  <si>
    <t>GKN DO BRASIL LTDA</t>
  </si>
  <si>
    <t>R50-10T4-RDI-1189-1364-0,008(BD6,35) (MOP) - FUSO DE ESFERAS CONJUNTO ZEMA GH-50</t>
  </si>
  <si>
    <t>LAPAROL AUTOMACAO E ROLAMENTOS LTDA</t>
  </si>
  <si>
    <t>HGR45-T8865-C - GUIA LINEAR TRILHO C/ EMENDA</t>
  </si>
  <si>
    <t>ROBERT BOSCH DIRECAO AUTOMOTIVA LTDA</t>
  </si>
  <si>
    <t>EGH30-CA-2R849E-ZA-C-II+KK (PAR) - GUIA LINEAR TRILHO CONJUNTO FANUC ROBODRILL A</t>
  </si>
  <si>
    <t>WEG EQUIPAMENTOS ELETRICOS S/A</t>
  </si>
  <si>
    <t>R32-5T4-FSIE2-300-355-0,05(BD3,175) - FUSO DE ESFERAS CONJUNTO</t>
  </si>
  <si>
    <t>SF0C561001</t>
  </si>
  <si>
    <t>RAUMAK MAQUINAS LTDA</t>
  </si>
  <si>
    <t>R16-10-164-200-0,05(BD3,175) - FUSO DE ESFERAS</t>
  </si>
  <si>
    <t>4R32-32K4-DFSC-453-610-0,05(BD3,969) - ES - FUSO DE ESFERAS CONJUNTO WEG M-06188</t>
  </si>
  <si>
    <t>SE0EL05019</t>
  </si>
  <si>
    <t>S V G ROLAMENTOS E AUTOMACAO EIRELI</t>
  </si>
  <si>
    <t>R63-10T5-FSI-3942-4300-0,05(BD6,35) - FUSO DE ESFERAS CONJUNTO</t>
  </si>
  <si>
    <t>SE0D4H3005</t>
  </si>
  <si>
    <t>MARRO MAQUINAS OPERATRIZES LTDA</t>
  </si>
  <si>
    <t>R40-5K4-FDC-558,5-726,5-0,023(BD3,175) - FUSO DE ESFERAS CONJUNTO MARRO AG-600 E</t>
  </si>
  <si>
    <t>SE0CRR2003</t>
  </si>
  <si>
    <t>HISTERESE SERVICOS</t>
  </si>
  <si>
    <t>R50-10K8-FSC-155-293-0,05(BD6,35) - ES - FUSO DE ESFERAS CONJUNTO</t>
  </si>
  <si>
    <t>Em Produção</t>
  </si>
  <si>
    <t>SE06QU3001</t>
  </si>
  <si>
    <t>SE06QU3022</t>
  </si>
  <si>
    <t>Produzido/Separado</t>
  </si>
  <si>
    <t>OQTIS INDUSTRIA DE EQUIPAMENTOS HOSPITALARES LTDA</t>
  </si>
  <si>
    <t>40,0</t>
  </si>
  <si>
    <t>HGR30-R515-C - GUIA LINEAR TRILHO ADAPTADO</t>
  </si>
  <si>
    <t>MASSINI INDUSTRIES DO BRASIL LTDA</t>
  </si>
  <si>
    <t>HGR25-R5220-H - GUIA LINEAR TRILHO</t>
  </si>
  <si>
    <t>Pendente</t>
  </si>
  <si>
    <t>HENRIQUE CESAR DO NASCIMENTO</t>
  </si>
  <si>
    <t>SF053W1002</t>
  </si>
  <si>
    <t>SF053W1003</t>
  </si>
  <si>
    <t>AGUARDANDO POSICAO  CASTANHA</t>
  </si>
  <si>
    <t>R16-5T3-FSINW-78-140-0,05(BD3,175)-FUS0 DE ESFERAS CONJUNTO</t>
  </si>
  <si>
    <t>R40-5T6-FSI-590-715-0,05(BD3,175)-ES-FUSO DE ESFERAS CONJUNTO</t>
  </si>
  <si>
    <t>SF043V3008</t>
  </si>
  <si>
    <t>SF043V3010</t>
  </si>
  <si>
    <t>4R25-25K2-FSCNW-800-931-0,05(BD3,175) - ES - FUSO DE ESFERAS CONJUNTO</t>
  </si>
  <si>
    <t>SE06QQ206</t>
  </si>
  <si>
    <t>SCM GROUP TECMATIC MAQUINAS E EQUIPAMENTOS LTDA</t>
  </si>
  <si>
    <t>R25-5T4-FSI-346-410-0,05(BD3,175) - ES - FUSO DE ESFERAS CONJUNTO</t>
  </si>
  <si>
    <t>SE0D4A2028</t>
  </si>
  <si>
    <t>R50-10K8-FSC-505-643-0,05(BD6,35) - ES - FUSO DE ESFERAS CONJUNTO</t>
  </si>
  <si>
    <t>R40-5T6-FSI-385-510-0,05(BD3,175) - ES - FUSO DE ESFERAS CONJUNTO</t>
  </si>
  <si>
    <t>Por</t>
  </si>
  <si>
    <t>AGUARDANDO POSICAO CASTANHA</t>
  </si>
  <si>
    <t>SF043V3009</t>
  </si>
  <si>
    <t>SF043V3001</t>
  </si>
  <si>
    <t>UNILOCK MANUTENCAO DE EQUIPAMENTOS LTDA</t>
  </si>
  <si>
    <t>1,00</t>
  </si>
  <si>
    <t>R32-10T4-FSI-868-976-0,05(BD6,35) - FUSO DE ESFERAS CONJUNTO</t>
  </si>
  <si>
    <t>R50-10K8-FSC-341-483-0,05(BD6,35) - ES - FUSO DE ESFERAS CONJUNTO</t>
  </si>
  <si>
    <t>SF043W1003</t>
  </si>
  <si>
    <t>SF043W1002</t>
  </si>
  <si>
    <t>SF043W1008</t>
  </si>
  <si>
    <t>SF043W1005</t>
  </si>
  <si>
    <t>13/01/2026</t>
  </si>
  <si>
    <t>4R32-32K4-DFSC-487-650-0,05(BD3,969) - ES - FUSO DE ESFERAS CONJUNTO WEG M-06188</t>
  </si>
  <si>
    <t>SE0EL05015</t>
  </si>
  <si>
    <t>2,00</t>
  </si>
  <si>
    <t>MULTI PACK PLAS INDUSTRIA E CONERCIO DE MAQUINAS LTDA</t>
  </si>
  <si>
    <t>R63-20T4-FSI-339-400-0,05(BF9,529)-FUSO DE ESFERAS CONJUNTO</t>
  </si>
  <si>
    <t>SE0D4H5002</t>
  </si>
  <si>
    <t>TAGLIO TECNOLOGIA LTDA</t>
  </si>
  <si>
    <t>R32-10-379-490-0,05(BD6,35)-FUSO DE ESFERAS</t>
  </si>
  <si>
    <t>1° CONJUNTO  - A-D</t>
  </si>
  <si>
    <t>2° CONJUNTO  - A1-D1</t>
  </si>
  <si>
    <t>Cota "E" A1</t>
  </si>
  <si>
    <t>Cota "E" B1</t>
  </si>
  <si>
    <t>4R32-32K4-DFSC-402-560-0,05(BD3,969)-ES-FUSO DE ESFERAS CONJUNTO ADAPTAD0</t>
  </si>
  <si>
    <t>SE0EL05003</t>
  </si>
  <si>
    <t>R16-5T3-FSINW-78-140-0,05((BD3,175) - FUSO DE ESFERAS CONJUNTO</t>
  </si>
  <si>
    <t>MULTI PACK PLAS INDUSTRIA E COMERCIO DE MAQUINAS LTDA</t>
  </si>
  <si>
    <t>R40-10T4-FSINW-425-477,5-0,05(BD6,35) - ES - FUSO DE ESFERAS CONJUNTO</t>
  </si>
  <si>
    <t>INDUSTRIA METALURGICA FRUM LTDA</t>
  </si>
  <si>
    <t>R50-12K5-FDC-1099,6-1459,5-0,008(BD7,938) (MOP) - FUSO DE ESFERAS CONJUNTO HWACH</t>
  </si>
  <si>
    <t>NIDEC GLOBAL APPLIANCE BRASIL LTDA</t>
  </si>
  <si>
    <t>R25-5T3-FSI-280-450-0,05(BD3,175) - ES - FUSO DE ESFERAS CONJUNTO</t>
  </si>
  <si>
    <t>COMERCIAL DE ROLAMENTOS CAXIAS LTDA</t>
  </si>
  <si>
    <t>R8-2,5-104-160-0,05 - FUSO DE ESFERAS ADAPTADO</t>
  </si>
  <si>
    <t>JUND-ROL COMERCIO E IMPORTACAO DE ROLAMENTOS LTDA</t>
  </si>
  <si>
    <t>RL40-10T4-FSISH+FSI-944-1278-0,05(BD6,35) - ES - FUSO DE ESFERAS CONJUNTO ADAPTA</t>
  </si>
  <si>
    <t>R40-10T3-FSI-420-465-0,05(BD6,35)-ES-FUSO DE ESFERAS CONJUNTO WEG M-06186 EI</t>
  </si>
  <si>
    <t>SE0EL25006</t>
  </si>
  <si>
    <t>SE0EL25008</t>
  </si>
  <si>
    <t>DR PRPMAQ</t>
  </si>
  <si>
    <t>R25-12B2-C1-PFDT-675-775-0,008(BD3,969)(MOP)-FUS0 DE ESFERAS CONJUNTO FANUC R</t>
  </si>
  <si>
    <t>SD078K4002</t>
  </si>
  <si>
    <t>N-TEC INDUSTRIA, COMERCIO E SERVICOS LTDA</t>
  </si>
  <si>
    <t>R32-10T4-FSI-688-801-0,05(BD6,35)-FUSO DE ESFERAS CONJUNTO</t>
  </si>
  <si>
    <t>SF0BLF1014</t>
  </si>
  <si>
    <t>SF0BLF1006</t>
  </si>
  <si>
    <t>SF0BLF1008</t>
  </si>
  <si>
    <t>WEG EQUIPA,ENTOS ELETRICOSS/A</t>
  </si>
  <si>
    <t>R40-10T4-FSI-900-1067-0,05(BD6,35)-ES-FUSO DE ESFERAS CONJUNTO WEG M- 0618811</t>
  </si>
  <si>
    <t>SF0DL86002</t>
  </si>
  <si>
    <t>SCANIA LATIN AMERICA LTDA</t>
  </si>
  <si>
    <t>R63-16B2-FSV-829,9-931-0,05(BD9,525) - FUSO DE ESFERAS CONJUNTO</t>
  </si>
  <si>
    <t>CASTANHA EADI</t>
  </si>
  <si>
    <t>N-TEC INDUSTRIA, COMERCIO E SERVICOS LTDA.</t>
  </si>
  <si>
    <t>5R25-50S5-FFSH-848-939,5-0,05(BD3,175) (MOP) - FUSO DE ESFERAS CONJUNTO</t>
  </si>
  <si>
    <t>R40-10T4-FSINW-525-579-0,05(BD6,35) - ES - FUSO DE ESFERAS CONJUNTO</t>
  </si>
  <si>
    <t>R63-20T4-FSI-339-400-0,05(BD9,525) - FUSO DE ESFERAS CONJUNTO</t>
  </si>
  <si>
    <t>SF026J6004</t>
  </si>
  <si>
    <t>2R32-20-1184,5-1316-0,05(BD6,35) - FUSO DE ESFERAS</t>
  </si>
  <si>
    <t>BK25-C7 - MANCAL USINADO PONTO DE LUBRIFICAÇÃO</t>
  </si>
  <si>
    <t>MESSER CUTTING SYSTEMS DO BRASIL LTDA</t>
  </si>
  <si>
    <t>HGR25-R3680-C - GUIA LINEAR TRILHO C/ EMENDA</t>
  </si>
  <si>
    <t>CINPAL COMPANHIA INDUSTRIAL DE PECAS PARA AUTOMOVEIS</t>
  </si>
  <si>
    <t>R50-5K5-FDC-730-970-0,023(BD3,175) - FUSO DE ESFERAS CONJUNTO DORRIES EIXO X</t>
  </si>
  <si>
    <t>SF00R54001</t>
  </si>
  <si>
    <t>OVERDRILL IND COM DE MAQUINAS E EQUIP LTDA</t>
  </si>
  <si>
    <t>R32-5T4-FSINW-275-375-0,05(BD3,175) - FUSO DE ESFERAS CONJUNTO</t>
  </si>
  <si>
    <t>SF0ARV1024</t>
  </si>
  <si>
    <t>EATON LTDA</t>
  </si>
  <si>
    <t>R50-10K4-FDC-389-570-0,008(MOP)FUSO DE ESFERAS CONJUNTO CINCINNA EIXO X</t>
  </si>
  <si>
    <t>WEG EQUIPAMENTOS ELETRICOSS/A</t>
  </si>
  <si>
    <t>4R32-32K4- DFSC-487-650-0,05(BD3,969)-ES-FUSO DE ESFERAS CONJUNTO WEG M-06188</t>
  </si>
  <si>
    <t>SE0EL05011</t>
  </si>
  <si>
    <t>SE0EL05004</t>
  </si>
  <si>
    <t>SE0EL44004</t>
  </si>
  <si>
    <t>SE0EL44015</t>
  </si>
  <si>
    <t>SE0EL44010</t>
  </si>
  <si>
    <t>SE0EL44003</t>
  </si>
  <si>
    <t>FALTA CASTANHA</t>
  </si>
  <si>
    <t>SF026G1006</t>
  </si>
  <si>
    <t>SF026G1004</t>
  </si>
  <si>
    <t>R50-5K5-FDC-1031-1270-0,023(BD3,175) - FUSO DE ESFERAS CONJUNTO DORRIES VCE-80 E</t>
  </si>
  <si>
    <t>SE0CEA4001</t>
  </si>
  <si>
    <t>POSICAO PCP</t>
  </si>
  <si>
    <t>FUNDICAO VENANCIO AIRES LTDA</t>
  </si>
  <si>
    <t>R40-10-896-1215-0,05(BD6,35)  - FUSO DE ESFERAS</t>
  </si>
  <si>
    <t>HAHNTEL LTDA</t>
  </si>
  <si>
    <t>2R40-20K4-FSC-688-819-0,05(BD6,35) - FUSO DE ESFERAS CONJUNTO</t>
  </si>
  <si>
    <t>SE05FA1004</t>
  </si>
  <si>
    <t>R25-12T4-FSI-951,77-1045-0,008 (MOP) - FUSO DE ESFERAS CONJUNTO FANUC ROBODRILL</t>
  </si>
  <si>
    <t>SE08F01004</t>
  </si>
  <si>
    <t>BENTELER SISTEMAS AUTOMOTIVOS LTDA</t>
  </si>
  <si>
    <t>R50-10T6-FSI-762-962-0,05(BD6,35) - ES - FUSO DE ESFERAS CONJUNTO ADAPTADO</t>
  </si>
  <si>
    <t>BR EX TRANSPORTE DE CARGAS LTDA</t>
  </si>
  <si>
    <t>15/01/2026</t>
  </si>
  <si>
    <t>R16-5T3-FSI-220-295-0,05(BD3,175) - FUSO DE ESFERAS CONJUNTO</t>
  </si>
  <si>
    <t>SE0EKY5003</t>
  </si>
  <si>
    <t>SF0BKW5004</t>
  </si>
  <si>
    <t>POWER MOENDAS INDUSTRIA E COMERCIO LTDA</t>
  </si>
  <si>
    <t>R50-1R50-10T4-FSINW-1276-1636-0,05(BD6,35)-ES-FUSO DE ESFERAS CONJUNTO</t>
  </si>
  <si>
    <t>SE06QY2004</t>
  </si>
  <si>
    <t xml:space="preserve">1° - Expresso Sao Miguel </t>
  </si>
  <si>
    <t>14/01/2026</t>
  </si>
  <si>
    <t>HELLER MAQUINAS OPERATRIZES INDUSTRIA E COMERCIO LTDA</t>
  </si>
  <si>
    <t>R50-25K3-FDC-1674-1855-0,012(BD7,144)(MOP) - FUSO DE ESFERAS CONJUNTO HELLER MCH</t>
  </si>
  <si>
    <t>SF06XL1003</t>
  </si>
  <si>
    <t>R32-10T4-FSI-275-450-0,05(BD6,35) - FUSO DE ESFERAS CONJUNTO WEG TORNO-2.IV EIXO</t>
  </si>
  <si>
    <t>ALFA TRANSPORTES LTDA</t>
  </si>
  <si>
    <t>13-01 10:30</t>
  </si>
  <si>
    <t>ROLESTE ROLAMENTOS LTDA</t>
  </si>
  <si>
    <t>R28-6K4-FDC-357-581-0,018 (MOP) - FUSO DE ESFERAS CONJUNTO ROMI CENTUR-30D EIXO</t>
  </si>
  <si>
    <t>EMPRESA BRASILEIRA DE CORREIOS E TELEGRAFOS</t>
  </si>
  <si>
    <t>13/01-16:55</t>
  </si>
  <si>
    <t>R32-5K4-FDC-360-440-0,008(BD3,175) (MOP) - FUSO DE ESFERAS CONJUNTO PFAUTER 9266</t>
  </si>
  <si>
    <t>TRANSPORTADORA PITUTA LTDA</t>
  </si>
  <si>
    <t>13/01-16:40</t>
  </si>
  <si>
    <t>IRBI</t>
  </si>
  <si>
    <t>SE0E5N1009</t>
  </si>
  <si>
    <t>SE0E5N1001</t>
  </si>
  <si>
    <t>16/01/2026</t>
  </si>
  <si>
    <t>PNEUMATICA AUTOMACAO COMERCIO E MANUTENCAO LTDA</t>
  </si>
  <si>
    <t>R32-5T4-FSINW-1035-1205-0,05(BD3,175) - FUSO DE ESFERAS CONJUNTO</t>
  </si>
  <si>
    <t>SF0ARV1037</t>
  </si>
  <si>
    <t>SF0ARV1010</t>
  </si>
  <si>
    <t>EVERTON DE ALMEIDA DIAS BRAVO MANUTENCAO E EQUIPAMENTOS</t>
  </si>
  <si>
    <t>R40 -10T4-FDI-1807-1968-0,018( BD6,35)(MOP)-FUSO DE ESFERAS CONJUNTO VEKER VK-4</t>
  </si>
  <si>
    <t>SE07WW2002</t>
  </si>
  <si>
    <t>8:30 15/01</t>
  </si>
  <si>
    <t>13-01</t>
  </si>
  <si>
    <t>14-01</t>
  </si>
  <si>
    <t>AUT SISTEMAS DE AUTOMACAO LTDA</t>
  </si>
  <si>
    <t>R40-10T4-FSI-1742-1893,5-0,05(BD6,35) - ES - FUSO DE ESFERAS CONJUNTO</t>
  </si>
  <si>
    <t>14/01-18:00</t>
  </si>
  <si>
    <t>SF043V1002</t>
  </si>
  <si>
    <t>14/01-16:23</t>
  </si>
  <si>
    <t>SF043V1003</t>
  </si>
  <si>
    <t>SEW-EURODRIVE BRASIL LTDA</t>
  </si>
  <si>
    <t>4R32-32S2-DFSH-475-590-0,05(BD4,763) - FUSO DE ESFERAS CONJUNTO</t>
  </si>
  <si>
    <t>SE0D4A6029</t>
  </si>
  <si>
    <t>4R32-32S2-DFSH-385-500-0,05(BD4,763) - FUSO DE ESFERAS CONJUNTO</t>
  </si>
  <si>
    <t>SE0D4A6036</t>
  </si>
  <si>
    <t>SE0EL41009</t>
  </si>
  <si>
    <t>SE0EL41006</t>
  </si>
  <si>
    <t>SE0EL41010</t>
  </si>
  <si>
    <t>SE0EL41005</t>
  </si>
  <si>
    <t>SE0EL41007</t>
  </si>
  <si>
    <t>SE0EL41001</t>
  </si>
  <si>
    <t>SE0EL41002</t>
  </si>
  <si>
    <t>SE0EL41004</t>
  </si>
  <si>
    <t>SE0D485198</t>
  </si>
  <si>
    <t>SE0D485023</t>
  </si>
  <si>
    <t>INDUSTRIA DE MAQUINAS KREIS</t>
  </si>
  <si>
    <t>R25-5-T4-FSI-287,4-385-0,05(BD3,1750-FUSO DE ESFERAS C/HARD CHROME</t>
  </si>
  <si>
    <t>SE0D4A2033</t>
  </si>
  <si>
    <t>R25-5-T4-FSI-232-381,2-0,05(BD3,1750-FUSO DE ESFERAS C/HARD CHROME</t>
  </si>
  <si>
    <t>SE0D4A2029</t>
  </si>
  <si>
    <t>L25-5T4-FSI-290,5-355-0,05(BD3,1750-FUSO DE ESFERAS C/HARD CHROME</t>
  </si>
  <si>
    <t>SF08K36004</t>
  </si>
  <si>
    <t>MULTIPET INDUSTRIA E COMERCIO DE EQUIPAMENTOS LTDA</t>
  </si>
  <si>
    <t>4R20-20-404-484-0,05(BD3,175) - FUSO DE ESFERAS</t>
  </si>
  <si>
    <t>ALFA TRANSPORTES EIRELI</t>
  </si>
  <si>
    <t>5R25-50-994-1110-0,05(BD3,175) - ES - FUSO DE ESFERAS</t>
  </si>
  <si>
    <t>PROJETO ALUMINIO LTDA</t>
  </si>
  <si>
    <t>R32-5T3-FSINW-240-340-0,05(BD3,175) - FUSO DE ESFERAS CONJUNTO</t>
  </si>
  <si>
    <t>SE06QU5025</t>
  </si>
  <si>
    <t>SE06QU5016</t>
  </si>
  <si>
    <t>R32-5T3-FSINW-250-350-0,05(BD3,175) - FUSO DE ESFERAS CONJUNTO</t>
  </si>
  <si>
    <t>SE06QU5026</t>
  </si>
  <si>
    <t>SE06QU5034</t>
  </si>
  <si>
    <t>R32-5T3-FSINW-220-320-0,05(BD3,175) - FUSO DE ESFERAS CONJUNTO</t>
  </si>
  <si>
    <t>SE06QU5031</t>
  </si>
  <si>
    <t>SE06QU5029</t>
  </si>
  <si>
    <t>QUARKS</t>
  </si>
  <si>
    <t>4AUTOM AUTOMACAO INDUSTRIAL E COMERCIO DE PECAS LTDA</t>
  </si>
  <si>
    <t>4R20-20K2-FSCNW-535-608-0,05(BD3,175) - FUSO DE ESFERAS CONJUNTO</t>
  </si>
  <si>
    <t>SE06QN6015</t>
  </si>
  <si>
    <t>4R38-40-635,5-781,5-0,05(BD3,969) - ES - FUSO DE ESFERAS</t>
  </si>
  <si>
    <t>15-01</t>
  </si>
  <si>
    <t>15-1</t>
  </si>
  <si>
    <t>R25-10T4-FSI-900-900-0,008 (MOP) - FUSO DE ESFERAS CONJUNTO ADAPTADO</t>
  </si>
  <si>
    <t>APERAM INOX AMERICA DO SUL S.A.</t>
  </si>
  <si>
    <t>R50-10T4-FSINW-740-2038-0,05(BD6,35) - ES - FUSO DE ESFERAS CONJUNTO ZIRTAM MAQU</t>
  </si>
  <si>
    <t>LILIAN</t>
  </si>
  <si>
    <t>R40-16K5-FSC-1045-1300-0,008(BD6,35) (MOP) - FUSO DE ESFERAS CONJUNTO TONGTAI TM</t>
  </si>
  <si>
    <t>SE074B4001</t>
  </si>
  <si>
    <t>R40-16K5-FSC-830-1105-0,008(BD6,35) (MOP) - FUSO DE ESFERAS CONJUNTO TONGTAI TMV</t>
  </si>
  <si>
    <t>SE074B4002</t>
  </si>
  <si>
    <t xml:space="preserve">ALEXANDRE </t>
  </si>
  <si>
    <t>R50-12T4-FSI-792,5-1108-0,008(BD7,938) (MOP) - FUSO DE ESFERAS CONJUNTO TONGTAI</t>
  </si>
  <si>
    <t>YGOR</t>
  </si>
  <si>
    <t>HGW45-HC-2R1900-ZA-C-II (PAR) - GUIA LINEAR TRILHO CONJUNTO TONGTAI TMV-850.Q-II</t>
  </si>
  <si>
    <t>PEDRO</t>
  </si>
  <si>
    <t>HGW45-HC-2R1410-ZA-C-II (PAR) - GUIA LINEAR TRILHO CONJUNTO TONGTAI TMV-850.Q-II</t>
  </si>
  <si>
    <t>HGH45-HA-2R1220-ZA-C-II (PAR) - GUIA LINEAR TRILHO CONJUNTO TONGTAI TMV-850.Q-II</t>
  </si>
  <si>
    <t>INDEL BAURU INDUSTRIA ELETROMETALURGICA LTDA</t>
  </si>
  <si>
    <t>R16-5T3-FSI-189,5-261-0,05(BD3,175) - FUSO DE ESFERAS CONJUNTO MQE-05</t>
  </si>
  <si>
    <t>SF0BKW5005</t>
  </si>
  <si>
    <t>SF0BKW5011</t>
  </si>
  <si>
    <t>R16-5T3-FSI-144,5-208,5-0,05(BD3,175) - FUSO DE ESFERAS CONJUNTO MQE-05</t>
  </si>
  <si>
    <t>SF0BKW5001</t>
  </si>
  <si>
    <t>SF0BLW5013</t>
  </si>
  <si>
    <t>R16-5T3-FSI-131-205-0,05(BD3,175) - FUSO DE ESFERAS CONJUNTO MQE-05</t>
  </si>
  <si>
    <t>SF0BKW5006</t>
  </si>
  <si>
    <t>SF0BKW5014</t>
  </si>
  <si>
    <t>2R50-20-610-860-0,05(BD6,35) - FUSO DE ESFERAS</t>
  </si>
  <si>
    <t>15/01-16:55</t>
  </si>
  <si>
    <t>15 - 15:44</t>
  </si>
  <si>
    <t>15 - 16:00</t>
  </si>
  <si>
    <t>INTERMETRIC INSTRUMENTOS LTDA - EPP</t>
  </si>
  <si>
    <t>R50-10-K8-FSC-1550-1885-0,05(BD6,35) - ES - FUSO DE ESFERAS CONJUNTO</t>
  </si>
  <si>
    <t>R32-10T4-FSIE2-311-462-0,05(BD6,35) - FUSO DE ESFERAS CONJUNTO WEG MANDRILHADORA</t>
  </si>
  <si>
    <t>R63-10T6-FSI-700-913-0,05(BD6,35) - FUSO DE ESFERAS CONJUNTO WEG M-06156.005 EIX</t>
  </si>
  <si>
    <t>DHALMAR BAURU INDUSTRIA E COMERCIO DE MAQUINAS LTDA</t>
  </si>
  <si>
    <t>HGR20-R4100-C E1=10 E2=10 - GUIA LINEAR TRILHO</t>
  </si>
  <si>
    <t>INMES INDUSTRIAL LTDA</t>
  </si>
  <si>
    <t>4R25-25K2-FSCNW-956,3-1064,7-0,05(BD3,175) - ES - FUSO DE ESFERAS CONJUNTO</t>
  </si>
  <si>
    <t>SE06QQ2019</t>
  </si>
  <si>
    <t>4R25-25K2-FSCNW-1219,8-1369,8-0,05(BD3,175) - ES - FUSO DE ESFERAS CONJUNTO</t>
  </si>
  <si>
    <t>SE06QQ2005</t>
  </si>
  <si>
    <t>ASTEMO CAMPINAS LTDA</t>
  </si>
  <si>
    <t>R32-16K4-FSC-504-600-0,018(MOP) - FUSO DE ESFERAS CONJUNTO BROTHER TC-32.A EIXO</t>
  </si>
  <si>
    <t>ZM SA</t>
  </si>
  <si>
    <t>R25-5K4-FSC-518-638-0,008(BD3,175) (MOP) - FUSO DE ESFERAS CONJUNTO QUICK-TECH M</t>
  </si>
  <si>
    <t>04727001001 / 04727001002</t>
  </si>
  <si>
    <t>SE0C4T1002</t>
  </si>
  <si>
    <t>H.F. SISTEMAS DE FREIO LTDA</t>
  </si>
  <si>
    <t>R40-10T4-FSI-386-523-0,023(BD6,35) - FUSO DE ESFERAS CONJUNTO EMAG VSC-315 EIX</t>
  </si>
  <si>
    <t>SE0CPC1005</t>
  </si>
  <si>
    <t>R25-5-249-442-0,05(BD3,175) - FUSO DE ESFERAS</t>
  </si>
  <si>
    <t>2R15-10K3-FSCSW-606,50-668-0,05-FUSO DE ESFERAS CONJUNTO PARA LINEAT STAGE DEL</t>
  </si>
  <si>
    <t>15/01-16:40</t>
  </si>
  <si>
    <t>16/01-12:43</t>
  </si>
  <si>
    <t>R25-10-392-484-0,05(BD4,763) - FUSO DE ESFERAS</t>
  </si>
  <si>
    <t>16/01-16:30</t>
  </si>
  <si>
    <t>WUTZL SISTEMAS DE IMPRESSAO LTDA</t>
  </si>
  <si>
    <t>4R20-20S2-DFSH-307,3-403,3-0,05(BD3,175) - FUSO DE ESFERAS CONJUNTO</t>
  </si>
  <si>
    <t>SF08K53006</t>
  </si>
  <si>
    <t>SF08K53003</t>
  </si>
  <si>
    <t>SF08K53009</t>
  </si>
  <si>
    <t>SF08K53001</t>
  </si>
  <si>
    <t>SF08K53008</t>
  </si>
  <si>
    <t>SF08K53002</t>
  </si>
  <si>
    <t>ZDN AMAZONIA LTDA</t>
  </si>
  <si>
    <t>R25-12A3-FSW-878,77-988-0,008(BD4,763) (MOP) - FUSO DE ESFERAS CONJUNTO FANUC RO</t>
  </si>
  <si>
    <t>AZUL LINHAS AEREAS BRASILEIRAS S.A.</t>
  </si>
  <si>
    <t>SF05WK2005</t>
  </si>
  <si>
    <t>SF06XW1004</t>
  </si>
  <si>
    <t>VERRY MAQUINAS LTDA</t>
  </si>
  <si>
    <t>HGR25-R6000-C - GUIA LINEAR TRILHO COM EMENDA COTA E=30</t>
  </si>
  <si>
    <t>VIPAL INDUSTRIA DE MAQUINAS LTDA</t>
  </si>
  <si>
    <t>R25-5-780-995-0,05(BD3,175) - FUSO DE ESFERAS (VIPAL)</t>
  </si>
  <si>
    <t>SF084J2001</t>
  </si>
  <si>
    <t>HGR30-R4423-C - GUIA LINEAR TRILHO COM EMENDA</t>
  </si>
  <si>
    <t>HGR25-R7692-C - GUIA LINEAR TRILHO</t>
  </si>
  <si>
    <t>SE06QY2013</t>
  </si>
  <si>
    <t>LIEDER MÁQUINAS E EQUIPAMENTOS INDUSTRIAIS LTDA</t>
  </si>
  <si>
    <t>R16-10-843-923-0,05(BD3,175) - FUSO DE ESFERAS</t>
  </si>
  <si>
    <t>TOX PRESSOTECHNIK DO BRASIL IND COM EQ LTDA</t>
  </si>
  <si>
    <t>R20-5T3-FSI-620-791-0,05(BD3,175) - ES - FUSO DE ESFERAS CONJUNTO</t>
  </si>
  <si>
    <t>SF0BL13008</t>
  </si>
  <si>
    <t xml:space="preserve">COMERCIAL DE ROLAMENTOS CAXIAS </t>
  </si>
  <si>
    <t>R25-10-392-484-0,05(BD4,763)-FUSO DE ESFERAS</t>
  </si>
  <si>
    <t>SE06QP1008</t>
  </si>
  <si>
    <t>SE06QP1007</t>
  </si>
  <si>
    <t>SE06QP1006</t>
  </si>
  <si>
    <t>SE06QP1004</t>
  </si>
  <si>
    <t>SE06QP1003</t>
  </si>
  <si>
    <t>HGR25-R7600-C - GUIA LINEAR TRILHO</t>
  </si>
  <si>
    <t>VAI PARA GALMETA</t>
  </si>
  <si>
    <t>USINAS SIDERURGICAS DE MINAS GERAIS - USIMINAS</t>
  </si>
  <si>
    <t>R63-10T6-FSI-1115-1279-0,05(BD6,35) - FUSO DE ESFERAS (USIMINAS)  HICOATING BR</t>
  </si>
  <si>
    <t>TRANSPORTES DELLA VOLPE S A COMERCIO E I</t>
  </si>
  <si>
    <t>20-01</t>
  </si>
  <si>
    <t>CNC</t>
  </si>
  <si>
    <t>YAMATECH AUTOMACAO INDUSTRIAL LTDA</t>
  </si>
  <si>
    <t>2R38-25K6-DFDCSS-961-1125-0,012 (MOP) - FUSO DE ESFERAS CONJUNTO HELLER MCI-16 E</t>
  </si>
  <si>
    <t>SF06LM1015</t>
  </si>
  <si>
    <t>SF06LM1012</t>
  </si>
  <si>
    <t>SF06LM1003</t>
  </si>
  <si>
    <t>CORTE</t>
  </si>
  <si>
    <t>20/01-17:40</t>
  </si>
  <si>
    <t>CAST. TORNO-FRESA / FUSO GL2</t>
  </si>
  <si>
    <t>R25-5K4-FSC-518-636-0,008(BD3,175) (MOP) - FUSO DE ESFERAS CONJUNTO QUICK-TECH M</t>
  </si>
  <si>
    <t>SF0BKW2030</t>
  </si>
  <si>
    <t>SF0BKW2027</t>
  </si>
  <si>
    <t>SEM APONTAMENTO</t>
  </si>
  <si>
    <t>20/01-16:45</t>
  </si>
  <si>
    <t>SF0BKW2019</t>
  </si>
  <si>
    <t>20/01-17:17</t>
  </si>
  <si>
    <t>SF0BKW2005</t>
  </si>
  <si>
    <t>AUMAQRS LTDA</t>
  </si>
  <si>
    <t>RL20-5T4-FSINW+FSI-216-328-0,05(BD3,175) - ES - FUSO DE ESFERAS CONJUNTO ADAPTAD</t>
  </si>
  <si>
    <t>R25-5T3-FSINW-456,7-573,2-0,05(BD3,175) - ES - FUSO DE ESFERAS CONJUNTO</t>
  </si>
  <si>
    <t>SF07BN1079</t>
  </si>
  <si>
    <t>SF07BN1049</t>
  </si>
  <si>
    <t>R25-5T3-FSINW-347-462,5-0,05(BD3,175) - ES - FUSO DE ESFERAS CONJUNTO</t>
  </si>
  <si>
    <t>SF07BN1042</t>
  </si>
  <si>
    <t>SF07BN1058</t>
  </si>
  <si>
    <t>20/01-13:36</t>
  </si>
  <si>
    <t>2R50-20-610-860-0,05(BD6,35)-FUSO DE ESFERAS</t>
  </si>
  <si>
    <t>21/01-16:15</t>
  </si>
  <si>
    <t>R12-4B1-RSV-461-500-0,05(BD2,381) - FUSO DE ESFERAS CONJUNTO HICOATING NACIONAL</t>
  </si>
  <si>
    <t>PRONTO NA FRESA</t>
  </si>
  <si>
    <t>HGR25-R5400-C - GUIA LINEAR TRILHO</t>
  </si>
  <si>
    <t>WHB AUTOMOTIVE SA</t>
  </si>
  <si>
    <t>R36-16B2-FST-749-1416-0,008-H(BD6,35) (MOP) - FUSO DE ESFERAS CONJUNTO MORI SEIK</t>
  </si>
  <si>
    <t>METALPRINT IND. E COM. MATERIAIS TAMPOGRAFICOS EIRELI EPP</t>
  </si>
  <si>
    <t>4R25-25-1050-1161-0,05(BD3,175) - ES - FUSO DE ESFERAS</t>
  </si>
  <si>
    <t>R16-10-368-434-0,05(BD3,175) - FUSO DE ESFERAS</t>
  </si>
  <si>
    <t>BRAZILIAN FEEDERS LTDA</t>
  </si>
  <si>
    <t>L32-10T4-FSI-596-822-0,05(BD6,35) - FUSO DE ESFERAS CONJUNTO</t>
  </si>
  <si>
    <t>SE06QP2003/SF08K34004</t>
  </si>
  <si>
    <t>4R38-40-635,5-781,5-0,05(BD3,969)-ES-FUSO DE ESFERAS</t>
  </si>
  <si>
    <t>21/01-17:49</t>
  </si>
  <si>
    <t>WEG</t>
  </si>
  <si>
    <t>PEÇA</t>
  </si>
  <si>
    <t xml:space="preserve">EMP. ESQ. </t>
  </si>
  <si>
    <t xml:space="preserve">BAT. ESQ. </t>
  </si>
  <si>
    <t xml:space="preserve">BAT. DIR. </t>
  </si>
  <si>
    <t xml:space="preserve">EMP. DIR. </t>
  </si>
  <si>
    <t>OP:047438-01-001       PEDIDO:0094269     ITEM:057617</t>
  </si>
  <si>
    <t>22-01</t>
  </si>
  <si>
    <t>1° CONJUNTO  - A-B</t>
  </si>
  <si>
    <t>2° CONJUNTO  - A1-B1</t>
  </si>
  <si>
    <t>FALTA 2</t>
  </si>
  <si>
    <t>R40-10-516-686-0,05(BD6,35) - FUSO DE ESFERAS</t>
  </si>
  <si>
    <t>PX INDUSTRIA E COMERCIO DE MAQUINAS LIMITADA</t>
  </si>
  <si>
    <t>R25-5-145-215-0,05(BD3,175) - ES - FUSO DE ESFERAS</t>
  </si>
  <si>
    <t>MECÂNICA INDUSTRIAL M.N. LTDA</t>
  </si>
  <si>
    <t>R28-6K4-FDC-544-695-0,018 (MOP) - FUSO DE ESFERAS CONJUNTO ROMI M40A EIXO X</t>
  </si>
  <si>
    <t>SD09WH1005 B</t>
  </si>
  <si>
    <t>SD09WH1004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</si>
</sst>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/m;@"/>
  </numFmts>
  <fonts count="3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rial"/>
    </font>
    <font>
      <b/>
      <sz val="11"/>
      <color theme="1"/>
      <name val="Arial"/>
    </font>
    <font>
      <b/>
      <sz val="11"/>
      <color theme="5"/>
      <name val="Arial"/>
    </font>
    <font>
      <b/>
      <sz val="11"/>
      <color rgb="FFFFFF00"/>
      <name val="Arial"/>
    </font>
    <font>
      <b/>
      <sz val="11"/>
      <color rgb="FF00B0F0"/>
      <name val="Arial"/>
    </font>
    <font>
      <b/>
      <sz val="11"/>
      <color rgb="FF0070C0"/>
      <name val="Arial"/>
    </font>
    <font>
      <sz val="11"/>
      <color theme="1"/>
      <name val="Arial"/>
    </font>
    <font>
      <sz val="65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0000"/>
      <name val="Cambria"/>
      <family val="1"/>
    </font>
    <font>
      <b/>
      <sz val="12"/>
      <color rgb="FFFF0000"/>
      <name val="Cambria"/>
      <family val="1"/>
    </font>
    <font>
      <b/>
      <sz val="12"/>
      <color theme="0"/>
      <name val="Cambria"/>
      <family val="1"/>
    </font>
    <font>
      <sz val="11"/>
      <color rgb="FF9C5700"/>
      <name val="Aptos Narrow"/>
      <scheme val="minor"/>
    </font>
    <font>
      <sz val="11"/>
      <color rgb="FF006100"/>
      <name val="Aptos Narrow"/>
      <scheme val="minor"/>
    </font>
    <font>
      <sz val="11"/>
      <color rgb="FF006100"/>
      <name val="Calibri"/>
    </font>
    <font>
      <sz val="10"/>
      <color rgb="FF000000"/>
      <name val="Tahoma"/>
    </font>
    <font>
      <sz val="11"/>
      <color rgb="FF000000"/>
      <name val="Calibri"/>
    </font>
    <font>
      <sz val="11"/>
      <color rgb="FF9C5700"/>
      <name val="Calibri"/>
    </font>
    <font>
      <sz val="11"/>
      <color rgb="FF9C0006"/>
      <name val="Aptos Narrow"/>
      <scheme val="minor"/>
    </font>
    <font>
      <b/>
      <sz val="11"/>
      <color rgb="FF9C0006"/>
      <name val="Aptos Narrow"/>
      <scheme val="minor"/>
    </font>
    <font>
      <b/>
      <sz val="11"/>
      <color rgb="FF9C5700"/>
      <name val="Aptos Narrow"/>
      <scheme val="minor"/>
    </font>
    <font>
      <b/>
      <sz val="11"/>
      <color rgb="FF006100"/>
      <name val="Aptos Narrow"/>
      <scheme val="minor"/>
    </font>
    <font>
      <b/>
      <sz val="11"/>
      <color theme="0"/>
      <name val="Calibri"/>
    </font>
    <font>
      <b/>
      <sz val="11"/>
      <color rgb="FF000000"/>
      <name val="Calibri"/>
    </font>
    <font>
      <b/>
      <sz val="11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00E5FF"/>
        <bgColor indexed="64"/>
      </patternFill>
    </fill>
    <fill>
      <patternFill patternType="solid">
        <fgColor rgb="FF00EEFF"/>
        <bgColor indexed="64"/>
      </patternFill>
    </fill>
    <fill>
      <patternFill patternType="solid">
        <fgColor rgb="FFFFC7CE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theme="0"/>
      </top>
      <bottom style="thin">
        <color rgb="FF000000"/>
      </bottom>
      <diagonal/>
    </border>
    <border>
      <left/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30" fillId="18" borderId="0" applyNumberFormat="0" applyBorder="0" applyAlignment="0" applyProtection="0"/>
  </cellStyleXfs>
  <cellXfs count="239">
    <xf numFmtId="0" fontId="0" fillId="0" borderId="0" xfId="0"/>
    <xf numFmtId="2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/>
    <xf numFmtId="0" fontId="0" fillId="3" borderId="1" xfId="0" applyFill="1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0" xfId="0" applyBorder="1"/>
    <xf numFmtId="0" fontId="10" fillId="0" borderId="0" xfId="0" applyFont="1"/>
    <xf numFmtId="0" fontId="0" fillId="0" borderId="11" xfId="0" applyBorder="1"/>
    <xf numFmtId="0" fontId="0" fillId="8" borderId="9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17" fillId="0" borderId="0" xfId="0" applyFont="1"/>
    <xf numFmtId="0" fontId="20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12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12" borderId="15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/>
    </xf>
    <xf numFmtId="0" fontId="22" fillId="12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3" fillId="13" borderId="1" xfId="0" applyFont="1" applyFill="1" applyBorder="1" applyAlignment="1">
      <alignment horizontal="center" vertical="center"/>
    </xf>
    <xf numFmtId="0" fontId="25" fillId="15" borderId="1" xfId="2" applyBorder="1"/>
    <xf numFmtId="14" fontId="25" fillId="15" borderId="1" xfId="2" applyNumberFormat="1" applyBorder="1"/>
    <xf numFmtId="20" fontId="25" fillId="15" borderId="1" xfId="2" applyNumberFormat="1" applyBorder="1"/>
    <xf numFmtId="0" fontId="25" fillId="15" borderId="0" xfId="2"/>
    <xf numFmtId="14" fontId="0" fillId="0" borderId="1" xfId="0" applyNumberFormat="1" applyBorder="1"/>
    <xf numFmtId="0" fontId="26" fillId="15" borderId="0" xfId="2" applyFont="1"/>
    <xf numFmtId="0" fontId="26" fillId="15" borderId="1" xfId="2" applyFont="1" applyBorder="1"/>
    <xf numFmtId="14" fontId="26" fillId="15" borderId="1" xfId="2" applyNumberFormat="1" applyFont="1" applyBorder="1"/>
    <xf numFmtId="3" fontId="26" fillId="15" borderId="1" xfId="2" applyNumberFormat="1" applyFont="1" applyBorder="1"/>
    <xf numFmtId="20" fontId="26" fillId="15" borderId="1" xfId="2" applyNumberFormat="1" applyFont="1" applyBorder="1"/>
    <xf numFmtId="2" fontId="26" fillId="15" borderId="1" xfId="2" applyNumberFormat="1" applyFont="1" applyBorder="1"/>
    <xf numFmtId="0" fontId="27" fillId="0" borderId="1" xfId="0" applyFont="1" applyBorder="1"/>
    <xf numFmtId="14" fontId="27" fillId="0" borderId="1" xfId="0" applyNumberFormat="1" applyFont="1" applyBorder="1"/>
    <xf numFmtId="3" fontId="27" fillId="0" borderId="1" xfId="0" applyNumberFormat="1" applyFont="1" applyBorder="1"/>
    <xf numFmtId="0" fontId="24" fillId="0" borderId="1" xfId="1" applyFill="1" applyBorder="1"/>
    <xf numFmtId="0" fontId="24" fillId="0" borderId="0" xfId="1" applyFill="1"/>
    <xf numFmtId="0" fontId="25" fillId="0" borderId="1" xfId="2" applyFill="1" applyBorder="1"/>
    <xf numFmtId="0" fontId="25" fillId="0" borderId="0" xfId="2" applyFill="1"/>
    <xf numFmtId="0" fontId="25" fillId="15" borderId="5" xfId="2" applyBorder="1"/>
    <xf numFmtId="0" fontId="1" fillId="0" borderId="5" xfId="0" applyFont="1" applyBorder="1"/>
    <xf numFmtId="2" fontId="0" fillId="0" borderId="5" xfId="0" applyNumberFormat="1" applyBorder="1"/>
    <xf numFmtId="164" fontId="0" fillId="0" borderId="5" xfId="0" applyNumberFormat="1" applyBorder="1"/>
    <xf numFmtId="0" fontId="25" fillId="0" borderId="5" xfId="2" applyFill="1" applyBorder="1"/>
    <xf numFmtId="0" fontId="24" fillId="0" borderId="5" xfId="1" applyFill="1" applyBorder="1"/>
    <xf numFmtId="0" fontId="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2" xfId="0" applyBorder="1"/>
    <xf numFmtId="0" fontId="19" fillId="3" borderId="3" xfId="0" applyFont="1" applyFill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28" fillId="16" borderId="1" xfId="1" applyFont="1" applyFill="1" applyBorder="1"/>
    <xf numFmtId="20" fontId="28" fillId="16" borderId="1" xfId="1" applyNumberFormat="1" applyFont="1" applyFill="1" applyBorder="1"/>
    <xf numFmtId="0" fontId="26" fillId="0" borderId="0" xfId="2" applyFont="1" applyFill="1"/>
    <xf numFmtId="0" fontId="29" fillId="0" borderId="0" xfId="1" applyFont="1" applyFill="1"/>
    <xf numFmtId="0" fontId="26" fillId="15" borderId="5" xfId="2" applyFont="1" applyBorder="1"/>
    <xf numFmtId="0" fontId="26" fillId="0" borderId="1" xfId="2" applyFont="1" applyFill="1" applyBorder="1"/>
    <xf numFmtId="0" fontId="26" fillId="0" borderId="5" xfId="2" applyFont="1" applyFill="1" applyBorder="1"/>
    <xf numFmtId="0" fontId="29" fillId="0" borderId="1" xfId="1" applyFont="1" applyFill="1" applyBorder="1"/>
    <xf numFmtId="0" fontId="29" fillId="0" borderId="5" xfId="1" applyFont="1" applyFill="1" applyBorder="1"/>
    <xf numFmtId="0" fontId="24" fillId="14" borderId="1" xfId="1" applyBorder="1"/>
    <xf numFmtId="14" fontId="24" fillId="14" borderId="1" xfId="1" applyNumberFormat="1" applyBorder="1"/>
    <xf numFmtId="0" fontId="24" fillId="14" borderId="0" xfId="1"/>
    <xf numFmtId="20" fontId="24" fillId="14" borderId="1" xfId="1" applyNumberFormat="1" applyBorder="1"/>
    <xf numFmtId="2" fontId="25" fillId="15" borderId="5" xfId="2" applyNumberFormat="1" applyBorder="1"/>
    <xf numFmtId="2" fontId="25" fillId="15" borderId="1" xfId="2" applyNumberFormat="1" applyBorder="1"/>
    <xf numFmtId="0" fontId="24" fillId="14" borderId="5" xfId="1" applyBorder="1"/>
    <xf numFmtId="0" fontId="2" fillId="4" borderId="2" xfId="0" applyFont="1" applyFill="1" applyBorder="1" applyAlignment="1">
      <alignment vertical="center"/>
    </xf>
    <xf numFmtId="3" fontId="25" fillId="15" borderId="1" xfId="2" applyNumberFormat="1" applyBorder="1"/>
    <xf numFmtId="0" fontId="0" fillId="17" borderId="1" xfId="0" applyFill="1" applyBorder="1"/>
    <xf numFmtId="14" fontId="0" fillId="17" borderId="1" xfId="0" applyNumberFormat="1" applyFill="1" applyBorder="1"/>
    <xf numFmtId="0" fontId="0" fillId="17" borderId="5" xfId="0" applyFill="1" applyBorder="1"/>
    <xf numFmtId="0" fontId="0" fillId="17" borderId="0" xfId="0" applyFill="1"/>
    <xf numFmtId="3" fontId="0" fillId="0" borderId="1" xfId="0" applyNumberFormat="1" applyBorder="1"/>
    <xf numFmtId="3" fontId="24" fillId="14" borderId="1" xfId="1" applyNumberFormat="1" applyBorder="1"/>
    <xf numFmtId="2" fontId="24" fillId="14" borderId="5" xfId="1" applyNumberFormat="1" applyBorder="1"/>
    <xf numFmtId="2" fontId="24" fillId="14" borderId="1" xfId="1" applyNumberFormat="1" applyBorder="1"/>
    <xf numFmtId="22" fontId="25" fillId="15" borderId="1" xfId="2" applyNumberFormat="1" applyBorder="1"/>
    <xf numFmtId="0" fontId="31" fillId="18" borderId="2" xfId="3" applyFont="1" applyBorder="1" applyAlignment="1">
      <alignment horizontal="center" vertical="center"/>
    </xf>
    <xf numFmtId="0" fontId="33" fillId="15" borderId="3" xfId="2" applyFont="1" applyBorder="1" applyAlignment="1">
      <alignment horizontal="center" vertical="center"/>
    </xf>
    <xf numFmtId="0" fontId="30" fillId="18" borderId="0" xfId="3"/>
    <xf numFmtId="0" fontId="30" fillId="18" borderId="1" xfId="3" applyBorder="1"/>
    <xf numFmtId="0" fontId="30" fillId="18" borderId="5" xfId="3" applyBorder="1"/>
    <xf numFmtId="2" fontId="30" fillId="18" borderId="5" xfId="3" applyNumberFormat="1" applyBorder="1"/>
    <xf numFmtId="2" fontId="30" fillId="18" borderId="1" xfId="3" applyNumberFormat="1" applyBorder="1"/>
    <xf numFmtId="164" fontId="30" fillId="18" borderId="5" xfId="3" applyNumberFormat="1" applyBorder="1"/>
    <xf numFmtId="0" fontId="0" fillId="0" borderId="19" xfId="0" applyBorder="1"/>
    <xf numFmtId="0" fontId="34" fillId="19" borderId="2" xfId="3" applyFont="1" applyFill="1" applyBorder="1" applyAlignment="1">
      <alignment horizontal="center" vertical="center"/>
    </xf>
    <xf numFmtId="0" fontId="35" fillId="20" borderId="3" xfId="2" applyFont="1" applyFill="1" applyBorder="1" applyAlignment="1">
      <alignment horizontal="center" vertical="center"/>
    </xf>
    <xf numFmtId="164" fontId="25" fillId="15" borderId="5" xfId="2" applyNumberFormat="1" applyBorder="1"/>
    <xf numFmtId="0" fontId="36" fillId="21" borderId="2" xfId="0" applyFont="1" applyFill="1" applyBorder="1" applyAlignment="1">
      <alignment horizontal="center" vertical="center"/>
    </xf>
    <xf numFmtId="0" fontId="25" fillId="15" borderId="2" xfId="2" applyBorder="1"/>
    <xf numFmtId="20" fontId="25" fillId="15" borderId="2" xfId="2" applyNumberFormat="1" applyBorder="1"/>
    <xf numFmtId="0" fontId="25" fillId="15" borderId="23" xfId="2" applyBorder="1"/>
    <xf numFmtId="0" fontId="25" fillId="15" borderId="15" xfId="2" applyBorder="1"/>
    <xf numFmtId="0" fontId="25" fillId="15" borderId="19" xfId="2" applyBorder="1"/>
    <xf numFmtId="0" fontId="25" fillId="15" borderId="1" xfId="2" applyBorder="1" applyAlignment="1">
      <alignment horizontal="right"/>
    </xf>
    <xf numFmtId="20" fontId="0" fillId="0" borderId="1" xfId="0" applyNumberFormat="1" applyBorder="1"/>
    <xf numFmtId="14" fontId="30" fillId="18" borderId="1" xfId="3" applyNumberFormat="1" applyBorder="1"/>
    <xf numFmtId="0" fontId="25" fillId="22" borderId="1" xfId="2" applyFill="1" applyBorder="1"/>
    <xf numFmtId="0" fontId="25" fillId="22" borderId="5" xfId="2" applyFill="1" applyBorder="1"/>
    <xf numFmtId="14" fontId="25" fillId="22" borderId="1" xfId="2" applyNumberFormat="1" applyFill="1" applyBorder="1"/>
    <xf numFmtId="0" fontId="25" fillId="22" borderId="0" xfId="2" applyFill="1"/>
    <xf numFmtId="0" fontId="0" fillId="22" borderId="5" xfId="0" applyFill="1" applyBorder="1"/>
    <xf numFmtId="0" fontId="0" fillId="22" borderId="1" xfId="0" applyFill="1" applyBorder="1"/>
    <xf numFmtId="0" fontId="0" fillId="22" borderId="0" xfId="0" applyFill="1"/>
    <xf numFmtId="20" fontId="0" fillId="22" borderId="1" xfId="0" applyNumberFormat="1" applyFill="1" applyBorder="1"/>
    <xf numFmtId="0" fontId="25" fillId="15" borderId="0" xfId="2" applyBorder="1" applyAlignment="1"/>
    <xf numFmtId="0" fontId="25" fillId="2" borderId="1" xfId="2" applyFill="1" applyBorder="1"/>
    <xf numFmtId="0" fontId="0" fillId="2" borderId="5" xfId="0" applyFill="1" applyBorder="1"/>
    <xf numFmtId="0" fontId="0" fillId="2" borderId="1" xfId="0" applyFill="1" applyBorder="1"/>
    <xf numFmtId="0" fontId="25" fillId="2" borderId="5" xfId="2" applyFill="1" applyBorder="1"/>
    <xf numFmtId="0" fontId="25" fillId="2" borderId="0" xfId="2" applyFill="1"/>
    <xf numFmtId="14" fontId="0" fillId="2" borderId="1" xfId="0" applyNumberFormat="1" applyFill="1" applyBorder="1"/>
    <xf numFmtId="14" fontId="25" fillId="15" borderId="24" xfId="2" applyNumberFormat="1" applyBorder="1" applyAlignment="1">
      <alignment wrapText="1"/>
    </xf>
    <xf numFmtId="0" fontId="3" fillId="23" borderId="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3" borderId="25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/>
    </xf>
    <xf numFmtId="0" fontId="19" fillId="2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6" fillId="2" borderId="0" xfId="2" applyFont="1" applyFill="1"/>
    <xf numFmtId="0" fontId="26" fillId="2" borderId="1" xfId="2" applyFont="1" applyFill="1" applyBorder="1"/>
    <xf numFmtId="0" fontId="26" fillId="2" borderId="5" xfId="2" applyFont="1" applyFill="1" applyBorder="1"/>
    <xf numFmtId="0" fontId="26" fillId="22" borderId="1" xfId="2" applyFont="1" applyFill="1" applyBorder="1"/>
    <xf numFmtId="14" fontId="0" fillId="22" borderId="1" xfId="0" applyNumberFormat="1" applyFill="1" applyBorder="1"/>
    <xf numFmtId="2" fontId="0" fillId="22" borderId="5" xfId="0" applyNumberFormat="1" applyFill="1" applyBorder="1"/>
    <xf numFmtId="2" fontId="0" fillId="22" borderId="1" xfId="0" applyNumberFormat="1" applyFill="1" applyBorder="1"/>
    <xf numFmtId="0" fontId="5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5" fillId="0" borderId="15" xfId="2" applyFill="1" applyBorder="1"/>
    <xf numFmtId="0" fontId="21" fillId="12" borderId="1" xfId="0" applyFont="1" applyFill="1" applyBorder="1" applyAlignment="1">
      <alignment horizontal="left"/>
    </xf>
    <xf numFmtId="0" fontId="21" fillId="12" borderId="3" xfId="0" applyFont="1" applyFill="1" applyBorder="1" applyAlignment="1">
      <alignment horizontal="left"/>
    </xf>
    <xf numFmtId="0" fontId="21" fillId="12" borderId="5" xfId="0" applyFont="1" applyFill="1" applyBorder="1" applyAlignment="1">
      <alignment horizontal="left"/>
    </xf>
    <xf numFmtId="0" fontId="21" fillId="8" borderId="3" xfId="0" applyFont="1" applyFill="1" applyBorder="1" applyAlignment="1">
      <alignment horizontal="left"/>
    </xf>
    <xf numFmtId="0" fontId="21" fillId="8" borderId="4" xfId="0" applyFont="1" applyFill="1" applyBorder="1" applyAlignment="1">
      <alignment horizontal="left"/>
    </xf>
    <xf numFmtId="0" fontId="21" fillId="8" borderId="5" xfId="0" applyFont="1" applyFill="1" applyBorder="1" applyAlignment="1">
      <alignment horizontal="left"/>
    </xf>
    <xf numFmtId="0" fontId="23" fillId="8" borderId="3" xfId="0" applyFont="1" applyFill="1" applyBorder="1" applyAlignment="1">
      <alignment horizontal="left"/>
    </xf>
    <xf numFmtId="0" fontId="23" fillId="8" borderId="4" xfId="0" applyFont="1" applyFill="1" applyBorder="1" applyAlignment="1">
      <alignment horizontal="left"/>
    </xf>
    <xf numFmtId="0" fontId="23" fillId="8" borderId="5" xfId="0" applyFont="1" applyFill="1" applyBorder="1" applyAlignment="1">
      <alignment horizontal="left"/>
    </xf>
    <xf numFmtId="0" fontId="21" fillId="11" borderId="3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/>
    </xf>
    <xf numFmtId="0" fontId="21" fillId="12" borderId="19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/>
    </xf>
    <xf numFmtId="0" fontId="18" fillId="8" borderId="4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11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5" fillId="4" borderId="3" xfId="1" applyFont="1" applyFill="1" applyBorder="1" applyAlignment="1">
      <alignment horizontal="center" vertical="center"/>
    </xf>
    <xf numFmtId="0" fontId="35" fillId="4" borderId="5" xfId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32" fillId="14" borderId="3" xfId="1" applyFont="1" applyBorder="1" applyAlignment="1">
      <alignment horizontal="center" vertical="center"/>
    </xf>
    <xf numFmtId="0" fontId="32" fillId="14" borderId="5" xfId="1" applyFont="1" applyBorder="1" applyAlignment="1">
      <alignment horizontal="center" vertical="center"/>
    </xf>
    <xf numFmtId="0" fontId="34" fillId="4" borderId="3" xfId="1" applyFont="1" applyFill="1" applyBorder="1" applyAlignment="1">
      <alignment horizontal="center" vertical="center"/>
    </xf>
    <xf numFmtId="0" fontId="34" fillId="4" borderId="5" xfId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</cellXfs>
  <cellStyles count="4">
    <cellStyle name="Bom" xfId="2" builtinId="26"/>
    <cellStyle name="Neutro" xfId="1" builtinId="28"/>
    <cellStyle name="Normal" xfId="0" builtinId="0"/>
    <cellStyle name="Ruim" xfId="3" builtinId="27"/>
  </cellStyles>
  <dxfs count="64"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1"/>
      </font>
      <fill>
        <patternFill patternType="solid">
          <bgColor theme="5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Medium9"/>
  <colors>
    <mruColors>
      <color rgb="FF00FFDD"/>
      <color rgb="FFFF0A0A"/>
      <color rgb="FF00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03F8B8-F588-4A65-B6DD-3445A85BC9D1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CF7B0B-B9C2-4CEA-A4DE-A0A14F9DE5E7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5CDD6C-5894-4C4D-BDB0-34F33B2BAD1A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FD997D-0647-4BDA-BC83-B850DBBB7914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4DFC2A-9330-4E98-A58F-C8A1C1A080CA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56DA68-54BC-4546-98A7-AA405FCD112E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1DF7F2-DCFA-444F-B728-FC2F8494C8E7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FC7A3A-B68C-4611-8850-90CEF7FFAB4F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434BD4-6A36-4D3C-9632-C256FFEA18F4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FA7E16-2F98-4035-9281-67F84D3E7ACF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8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D49F95-B168-4810-9A68-C69F59C8717B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16668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515CA8-CFA3-45B3-B65A-3710301436A1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092934-ABF0-4AD4-A680-B4C1B8E8ADD8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A3434D-23C8-463F-A934-9D0BF97E211E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7F18A8-5CDA-4721-8D85-18437287B913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B099D3-88B3-4BA0-86FE-32B7C164D559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2891DC-2DC1-40E1-9F74-34E071D57556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89AD35-9AAA-47D8-9DB1-92D412F74A58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2BC714-39B4-4D19-8984-0B18C12FB4C5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AE7343-6FE4-4128-B7E7-9571117874E5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65067D-8BD3-4969-AAF5-5AAA417EE093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D5BC-957B-4D4E-AEA8-E3429DF91471}">
  <sheetPr>
    <tabColor rgb="FFFFFF00"/>
  </sheetPr>
  <dimension ref="A1:U64"/>
  <sheetViews>
    <sheetView showGridLines="0" topLeftCell="A15" workbookViewId="0">
      <selection activeCell="N16" sqref="N16"/>
    </sheetView>
  </sheetViews>
  <sheetFormatPr defaultRowHeight="15" x14ac:dyDescent="0.25"/>
  <sheetData>
    <row r="1" spans="1:21" x14ac:dyDescent="0.25">
      <c r="A1" s="195">
        <f ca="1">TODAY()</f>
        <v>46065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22.5</v>
      </c>
      <c r="F18" s="210"/>
      <c r="G18" s="211">
        <f>E18-(E22/2)</f>
        <v>17.350000000000001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22.5</v>
      </c>
      <c r="F19" s="192"/>
      <c r="G19" s="194">
        <f>E19-(E22/2)</f>
        <v>17.350000000000001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52.5</v>
      </c>
      <c r="F20" s="192"/>
      <c r="G20" s="194">
        <f>E20-(E22/2)</f>
        <v>47.35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52.5</v>
      </c>
      <c r="F21" s="192"/>
      <c r="G21" s="194">
        <f>E21-(E22/2)</f>
        <v>47.35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10.3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22.5</v>
      </c>
      <c r="C29" s="178"/>
      <c r="D29" s="34">
        <v>0.5</v>
      </c>
      <c r="E29" s="35">
        <f>B29+D29</f>
        <v>23</v>
      </c>
      <c r="F29" s="177">
        <f>$E$19</f>
        <v>22.5</v>
      </c>
      <c r="G29" s="178"/>
      <c r="H29" s="34">
        <v>0</v>
      </c>
      <c r="I29" s="175">
        <f>F29+H29</f>
        <v>22.5</v>
      </c>
      <c r="J29" s="176"/>
      <c r="M29" s="179">
        <f>$E$18</f>
        <v>22.5</v>
      </c>
      <c r="N29" s="180"/>
      <c r="O29" s="36"/>
      <c r="P29" s="37">
        <f>M29+O29</f>
        <v>22.5</v>
      </c>
      <c r="Q29" s="179">
        <f>$E$19</f>
        <v>22.5</v>
      </c>
      <c r="R29" s="180"/>
      <c r="S29" s="36"/>
      <c r="T29" s="181">
        <f>Q29+S29</f>
        <v>22.5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0.05</v>
      </c>
      <c r="E31" s="40">
        <f>$E$20+D31</f>
        <v>52.55</v>
      </c>
      <c r="F31" s="167" t="s">
        <v>16</v>
      </c>
      <c r="G31" s="168"/>
      <c r="H31" s="34">
        <v>0.15</v>
      </c>
      <c r="I31" s="175">
        <f>$E$21+H31</f>
        <v>52.65</v>
      </c>
      <c r="J31" s="176"/>
      <c r="M31" s="166" t="s">
        <v>17</v>
      </c>
      <c r="N31" s="166"/>
      <c r="O31" s="39"/>
      <c r="P31" s="40">
        <f>$E$20+O31</f>
        <v>52.5</v>
      </c>
      <c r="Q31" s="167" t="s">
        <v>17</v>
      </c>
      <c r="R31" s="168"/>
      <c r="S31" s="34"/>
      <c r="T31" s="175">
        <f>$E$21+S31</f>
        <v>52.5</v>
      </c>
      <c r="U31" s="176"/>
    </row>
    <row r="32" spans="1:21" ht="15.75" x14ac:dyDescent="0.25">
      <c r="A32" s="23"/>
      <c r="B32" s="166" t="s">
        <v>18</v>
      </c>
      <c r="C32" s="166"/>
      <c r="D32" s="41">
        <v>0.05</v>
      </c>
      <c r="E32" s="41"/>
      <c r="F32" s="167" t="s">
        <v>18</v>
      </c>
      <c r="G32" s="168"/>
      <c r="H32" s="38">
        <v>0</v>
      </c>
      <c r="I32" s="167"/>
      <c r="J32" s="168"/>
      <c r="M32" s="166" t="s">
        <v>18</v>
      </c>
      <c r="N32" s="166"/>
      <c r="O32" s="41"/>
      <c r="P32" s="41"/>
      <c r="Q32" s="167" t="s">
        <v>18</v>
      </c>
      <c r="R32" s="168"/>
      <c r="S32" s="38"/>
      <c r="T32" s="167"/>
      <c r="U32" s="168"/>
    </row>
    <row r="33" spans="1:21" ht="15.75" x14ac:dyDescent="0.25">
      <c r="A33" s="23"/>
      <c r="B33" s="166" t="s">
        <v>18</v>
      </c>
      <c r="C33" s="166"/>
      <c r="D33" s="41"/>
      <c r="E33" s="41"/>
      <c r="F33" s="167" t="s">
        <v>18</v>
      </c>
      <c r="G33" s="168"/>
      <c r="H33" s="38"/>
      <c r="I33" s="167"/>
      <c r="J33" s="168"/>
      <c r="M33" s="166" t="s">
        <v>18</v>
      </c>
      <c r="N33" s="166"/>
      <c r="O33" s="41"/>
      <c r="P33" s="41"/>
      <c r="Q33" s="167" t="s">
        <v>18</v>
      </c>
      <c r="R33" s="168"/>
      <c r="S33" s="38"/>
      <c r="T33" s="167"/>
      <c r="U33" s="168"/>
    </row>
    <row r="34" spans="1:21" ht="15.75" x14ac:dyDescent="0.25">
      <c r="A34" s="23"/>
      <c r="B34" s="166" t="s">
        <v>19</v>
      </c>
      <c r="C34" s="166"/>
      <c r="D34" s="41"/>
      <c r="E34" s="41"/>
      <c r="F34" s="167" t="s">
        <v>18</v>
      </c>
      <c r="G34" s="168"/>
      <c r="H34" s="38"/>
      <c r="I34" s="167"/>
      <c r="J34" s="168"/>
      <c r="M34" s="166" t="s">
        <v>19</v>
      </c>
      <c r="N34" s="166"/>
      <c r="O34" s="41"/>
      <c r="P34" s="41"/>
      <c r="Q34" s="167" t="s">
        <v>18</v>
      </c>
      <c r="R34" s="168"/>
      <c r="S34" s="38"/>
      <c r="T34" s="167"/>
      <c r="U34" s="168"/>
    </row>
    <row r="35" spans="1:21" ht="15.75" x14ac:dyDescent="0.25">
      <c r="A35" s="23"/>
      <c r="B35" s="166" t="s">
        <v>18</v>
      </c>
      <c r="C35" s="166"/>
      <c r="D35" s="41"/>
      <c r="E35" s="41"/>
      <c r="F35" s="167" t="s">
        <v>18</v>
      </c>
      <c r="G35" s="168"/>
      <c r="H35" s="38"/>
      <c r="I35" s="167"/>
      <c r="J35" s="168"/>
      <c r="M35" s="166" t="s">
        <v>18</v>
      </c>
      <c r="N35" s="166"/>
      <c r="O35" s="41"/>
      <c r="P35" s="41"/>
      <c r="Q35" s="167" t="s">
        <v>18</v>
      </c>
      <c r="R35" s="168"/>
      <c r="S35" s="38"/>
      <c r="T35" s="167"/>
      <c r="U35" s="168"/>
    </row>
    <row r="36" spans="1:21" ht="15.75" x14ac:dyDescent="0.25">
      <c r="A36" s="23"/>
      <c r="B36" s="166" t="s">
        <v>18</v>
      </c>
      <c r="C36" s="166"/>
      <c r="D36" s="41"/>
      <c r="E36" s="41"/>
      <c r="F36" s="167" t="s">
        <v>18</v>
      </c>
      <c r="G36" s="168"/>
      <c r="H36" s="38"/>
      <c r="I36" s="167"/>
      <c r="J36" s="168"/>
      <c r="M36" s="166" t="s">
        <v>18</v>
      </c>
      <c r="N36" s="166"/>
      <c r="O36" s="41"/>
      <c r="P36" s="41"/>
      <c r="Q36" s="167" t="s">
        <v>18</v>
      </c>
      <c r="R36" s="168"/>
      <c r="S36" s="38"/>
      <c r="T36" s="167"/>
      <c r="U36" s="168"/>
    </row>
    <row r="37" spans="1:21" ht="15.75" x14ac:dyDescent="0.25">
      <c r="A37" s="23"/>
      <c r="B37" s="166" t="s">
        <v>18</v>
      </c>
      <c r="C37" s="166"/>
      <c r="D37" s="41"/>
      <c r="E37" s="41"/>
      <c r="F37" s="167" t="s">
        <v>18</v>
      </c>
      <c r="G37" s="168"/>
      <c r="H37" s="38"/>
      <c r="I37" s="167"/>
      <c r="J37" s="168"/>
      <c r="M37" s="166" t="s">
        <v>18</v>
      </c>
      <c r="N37" s="166"/>
      <c r="O37" s="41"/>
      <c r="P37" s="41"/>
      <c r="Q37" s="167" t="s">
        <v>18</v>
      </c>
      <c r="R37" s="168"/>
      <c r="S37" s="38"/>
      <c r="T37" s="167"/>
      <c r="U37" s="168"/>
    </row>
    <row r="38" spans="1:21" ht="15.75" x14ac:dyDescent="0.25">
      <c r="A38" s="23"/>
      <c r="B38" s="166" t="s">
        <v>18</v>
      </c>
      <c r="C38" s="166"/>
      <c r="D38" s="41"/>
      <c r="E38" s="41"/>
      <c r="F38" s="167" t="s">
        <v>18</v>
      </c>
      <c r="G38" s="168"/>
      <c r="H38" s="38"/>
      <c r="I38" s="167"/>
      <c r="J38" s="168"/>
      <c r="M38" s="166" t="s">
        <v>18</v>
      </c>
      <c r="N38" s="166"/>
      <c r="O38" s="41"/>
      <c r="P38" s="41"/>
      <c r="Q38" s="167" t="s">
        <v>18</v>
      </c>
      <c r="R38" s="168"/>
      <c r="S38" s="38"/>
      <c r="T38" s="167"/>
      <c r="U38" s="168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22.5</v>
      </c>
      <c r="C42" s="178"/>
      <c r="D42" s="34"/>
      <c r="E42" s="35">
        <f>B42+D42</f>
        <v>22.5</v>
      </c>
      <c r="F42" s="177">
        <f>$E$19</f>
        <v>22.5</v>
      </c>
      <c r="G42" s="178"/>
      <c r="H42" s="34"/>
      <c r="I42" s="175">
        <f>F42+H42</f>
        <v>22.5</v>
      </c>
      <c r="J42" s="176"/>
      <c r="M42" s="179">
        <f>$E$18</f>
        <v>22.5</v>
      </c>
      <c r="N42" s="180"/>
      <c r="O42" s="36"/>
      <c r="P42" s="37">
        <f>M42+O42</f>
        <v>22.5</v>
      </c>
      <c r="Q42" s="179">
        <f>$E$19</f>
        <v>22.5</v>
      </c>
      <c r="R42" s="180"/>
      <c r="S42" s="36"/>
      <c r="T42" s="181">
        <f>Q42+S42</f>
        <v>22.5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>$E$20+D44</f>
        <v>52.5</v>
      </c>
      <c r="F44" s="167" t="s">
        <v>16</v>
      </c>
      <c r="G44" s="168"/>
      <c r="H44" s="34"/>
      <c r="I44" s="175">
        <f>$E$21+H44</f>
        <v>52.5</v>
      </c>
      <c r="J44" s="176"/>
      <c r="M44" s="166" t="s">
        <v>17</v>
      </c>
      <c r="N44" s="166"/>
      <c r="O44" s="39"/>
      <c r="P44" s="40">
        <f>$E$20+O44</f>
        <v>52.5</v>
      </c>
      <c r="Q44" s="167" t="s">
        <v>17</v>
      </c>
      <c r="R44" s="168"/>
      <c r="S44" s="34"/>
      <c r="T44" s="175">
        <f>$E$21+S44</f>
        <v>52.5</v>
      </c>
      <c r="U44" s="176"/>
    </row>
    <row r="45" spans="1:21" ht="15.75" x14ac:dyDescent="0.25">
      <c r="B45" s="166" t="s">
        <v>18</v>
      </c>
      <c r="C45" s="166"/>
      <c r="D45" s="41"/>
      <c r="E45" s="41"/>
      <c r="F45" s="167" t="s">
        <v>18</v>
      </c>
      <c r="G45" s="168"/>
      <c r="H45" s="38"/>
      <c r="I45" s="167"/>
      <c r="J45" s="168"/>
      <c r="M45" s="166" t="s">
        <v>18</v>
      </c>
      <c r="N45" s="166"/>
      <c r="O45" s="41"/>
      <c r="P45" s="41"/>
      <c r="Q45" s="167" t="s">
        <v>18</v>
      </c>
      <c r="R45" s="168"/>
      <c r="S45" s="38"/>
      <c r="T45" s="167"/>
      <c r="U45" s="168"/>
    </row>
    <row r="46" spans="1:21" ht="15.75" x14ac:dyDescent="0.25">
      <c r="B46" s="166" t="s">
        <v>18</v>
      </c>
      <c r="C46" s="166"/>
      <c r="D46" s="41"/>
      <c r="E46" s="41"/>
      <c r="F46" s="167" t="s">
        <v>18</v>
      </c>
      <c r="G46" s="168"/>
      <c r="H46" s="38"/>
      <c r="I46" s="167"/>
      <c r="J46" s="168"/>
      <c r="M46" s="166" t="s">
        <v>18</v>
      </c>
      <c r="N46" s="166"/>
      <c r="O46" s="41"/>
      <c r="P46" s="41"/>
      <c r="Q46" s="167" t="s">
        <v>18</v>
      </c>
      <c r="R46" s="168"/>
      <c r="S46" s="38"/>
      <c r="T46" s="167"/>
      <c r="U46" s="168"/>
    </row>
    <row r="47" spans="1:21" ht="15.75" x14ac:dyDescent="0.25">
      <c r="B47" s="166" t="s">
        <v>19</v>
      </c>
      <c r="C47" s="166"/>
      <c r="D47" s="41"/>
      <c r="E47" s="41"/>
      <c r="F47" s="167" t="s">
        <v>18</v>
      </c>
      <c r="G47" s="168"/>
      <c r="H47" s="38"/>
      <c r="I47" s="167"/>
      <c r="J47" s="168"/>
      <c r="M47" s="166" t="s">
        <v>19</v>
      </c>
      <c r="N47" s="166"/>
      <c r="O47" s="41"/>
      <c r="P47" s="41"/>
      <c r="Q47" s="167" t="s">
        <v>18</v>
      </c>
      <c r="R47" s="168"/>
      <c r="S47" s="38"/>
      <c r="T47" s="167"/>
      <c r="U47" s="168"/>
    </row>
    <row r="48" spans="1:21" ht="15.75" x14ac:dyDescent="0.25">
      <c r="B48" s="166" t="s">
        <v>18</v>
      </c>
      <c r="C48" s="166"/>
      <c r="D48" s="41"/>
      <c r="E48" s="41"/>
      <c r="F48" s="167" t="s">
        <v>18</v>
      </c>
      <c r="G48" s="168"/>
      <c r="H48" s="38"/>
      <c r="I48" s="167"/>
      <c r="J48" s="168"/>
      <c r="M48" s="166" t="s">
        <v>18</v>
      </c>
      <c r="N48" s="166"/>
      <c r="O48" s="41"/>
      <c r="P48" s="41"/>
      <c r="Q48" s="167" t="s">
        <v>18</v>
      </c>
      <c r="R48" s="168"/>
      <c r="S48" s="38"/>
      <c r="T48" s="167"/>
      <c r="U48" s="168"/>
    </row>
    <row r="49" spans="2:21" ht="15.75" x14ac:dyDescent="0.25">
      <c r="B49" s="166" t="s">
        <v>18</v>
      </c>
      <c r="C49" s="166"/>
      <c r="D49" s="41"/>
      <c r="E49" s="41"/>
      <c r="F49" s="167" t="s">
        <v>18</v>
      </c>
      <c r="G49" s="168"/>
      <c r="H49" s="38"/>
      <c r="I49" s="167"/>
      <c r="J49" s="168"/>
      <c r="M49" s="166" t="s">
        <v>18</v>
      </c>
      <c r="N49" s="166"/>
      <c r="O49" s="41"/>
      <c r="P49" s="41"/>
      <c r="Q49" s="167" t="s">
        <v>18</v>
      </c>
      <c r="R49" s="168"/>
      <c r="S49" s="38"/>
      <c r="T49" s="167"/>
      <c r="U49" s="168"/>
    </row>
    <row r="50" spans="2:21" ht="15.75" x14ac:dyDescent="0.25">
      <c r="B50" s="166" t="s">
        <v>18</v>
      </c>
      <c r="C50" s="166"/>
      <c r="D50" s="41"/>
      <c r="E50" s="41"/>
      <c r="F50" s="167" t="s">
        <v>18</v>
      </c>
      <c r="G50" s="168"/>
      <c r="H50" s="38"/>
      <c r="I50" s="167"/>
      <c r="J50" s="168"/>
      <c r="M50" s="166" t="s">
        <v>18</v>
      </c>
      <c r="N50" s="166"/>
      <c r="O50" s="41"/>
      <c r="P50" s="41"/>
      <c r="Q50" s="167" t="s">
        <v>18</v>
      </c>
      <c r="R50" s="168"/>
      <c r="S50" s="38"/>
      <c r="T50" s="167"/>
      <c r="U50" s="168"/>
    </row>
    <row r="51" spans="2:21" ht="15.75" x14ac:dyDescent="0.25">
      <c r="B51" s="166" t="s">
        <v>18</v>
      </c>
      <c r="C51" s="166"/>
      <c r="D51" s="41"/>
      <c r="E51" s="41"/>
      <c r="F51" s="167" t="s">
        <v>18</v>
      </c>
      <c r="G51" s="168"/>
      <c r="H51" s="38"/>
      <c r="I51" s="167"/>
      <c r="J51" s="168"/>
      <c r="M51" s="166" t="s">
        <v>18</v>
      </c>
      <c r="N51" s="166"/>
      <c r="O51" s="41"/>
      <c r="P51" s="41"/>
      <c r="Q51" s="167" t="s">
        <v>18</v>
      </c>
      <c r="R51" s="168"/>
      <c r="S51" s="38"/>
      <c r="T51" s="167"/>
      <c r="U51" s="168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22.5</v>
      </c>
      <c r="C55" s="178"/>
      <c r="D55" s="34"/>
      <c r="E55" s="35">
        <f>B55+D55</f>
        <v>22.5</v>
      </c>
      <c r="F55" s="177">
        <f>$E$19</f>
        <v>22.5</v>
      </c>
      <c r="G55" s="178"/>
      <c r="H55" s="34"/>
      <c r="I55" s="175">
        <f>F55+H55</f>
        <v>22.5</v>
      </c>
      <c r="J55" s="176"/>
      <c r="M55" s="179">
        <f>$E$18</f>
        <v>22.5</v>
      </c>
      <c r="N55" s="180"/>
      <c r="O55" s="36"/>
      <c r="P55" s="37">
        <f>M55+O55</f>
        <v>22.5</v>
      </c>
      <c r="Q55" s="179">
        <f>$E$19</f>
        <v>22.5</v>
      </c>
      <c r="R55" s="180"/>
      <c r="S55" s="36"/>
      <c r="T55" s="181">
        <f>Q55+S55</f>
        <v>22.5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>$E$20+D57</f>
        <v>52.5</v>
      </c>
      <c r="F57" s="167" t="s">
        <v>16</v>
      </c>
      <c r="G57" s="168"/>
      <c r="H57" s="34"/>
      <c r="I57" s="175">
        <f>$E$21+H57</f>
        <v>52.5</v>
      </c>
      <c r="J57" s="176"/>
      <c r="M57" s="166" t="s">
        <v>17</v>
      </c>
      <c r="N57" s="166"/>
      <c r="O57" s="39"/>
      <c r="P57" s="40">
        <f>$E$20+O57</f>
        <v>52.5</v>
      </c>
      <c r="Q57" s="167" t="s">
        <v>17</v>
      </c>
      <c r="R57" s="168"/>
      <c r="S57" s="34"/>
      <c r="T57" s="175">
        <f>$E$21+S57</f>
        <v>52.5</v>
      </c>
      <c r="U57" s="176"/>
    </row>
    <row r="58" spans="2:21" ht="15.75" x14ac:dyDescent="0.25">
      <c r="B58" s="166" t="s">
        <v>18</v>
      </c>
      <c r="C58" s="166"/>
      <c r="D58" s="41"/>
      <c r="E58" s="41"/>
      <c r="F58" s="167" t="s">
        <v>18</v>
      </c>
      <c r="G58" s="168"/>
      <c r="H58" s="38"/>
      <c r="I58" s="167"/>
      <c r="J58" s="168"/>
      <c r="M58" s="166" t="s">
        <v>18</v>
      </c>
      <c r="N58" s="166"/>
      <c r="O58" s="41"/>
      <c r="P58" s="41"/>
      <c r="Q58" s="167" t="s">
        <v>18</v>
      </c>
      <c r="R58" s="168"/>
      <c r="S58" s="38"/>
      <c r="T58" s="167"/>
      <c r="U58" s="168"/>
    </row>
    <row r="59" spans="2:21" ht="15.75" x14ac:dyDescent="0.25">
      <c r="B59" s="166" t="s">
        <v>18</v>
      </c>
      <c r="C59" s="166"/>
      <c r="D59" s="41"/>
      <c r="E59" s="41"/>
      <c r="F59" s="167" t="s">
        <v>18</v>
      </c>
      <c r="G59" s="168"/>
      <c r="H59" s="38"/>
      <c r="I59" s="167"/>
      <c r="J59" s="168"/>
      <c r="M59" s="166" t="s">
        <v>18</v>
      </c>
      <c r="N59" s="166"/>
      <c r="O59" s="41"/>
      <c r="P59" s="41"/>
      <c r="Q59" s="167" t="s">
        <v>18</v>
      </c>
      <c r="R59" s="168"/>
      <c r="S59" s="38"/>
      <c r="T59" s="167"/>
      <c r="U59" s="168"/>
    </row>
    <row r="60" spans="2:21" ht="15.75" x14ac:dyDescent="0.25">
      <c r="B60" s="166" t="s">
        <v>19</v>
      </c>
      <c r="C60" s="166"/>
      <c r="D60" s="41"/>
      <c r="E60" s="41"/>
      <c r="F60" s="167" t="s">
        <v>18</v>
      </c>
      <c r="G60" s="168"/>
      <c r="H60" s="38"/>
      <c r="I60" s="167"/>
      <c r="J60" s="168"/>
      <c r="M60" s="166" t="s">
        <v>19</v>
      </c>
      <c r="N60" s="166"/>
      <c r="O60" s="41"/>
      <c r="P60" s="41"/>
      <c r="Q60" s="167" t="s">
        <v>18</v>
      </c>
      <c r="R60" s="168"/>
      <c r="S60" s="38"/>
      <c r="T60" s="167"/>
      <c r="U60" s="168"/>
    </row>
    <row r="61" spans="2:21" ht="15.75" x14ac:dyDescent="0.25">
      <c r="B61" s="166" t="s">
        <v>18</v>
      </c>
      <c r="C61" s="166"/>
      <c r="D61" s="41"/>
      <c r="E61" s="41"/>
      <c r="F61" s="167" t="s">
        <v>18</v>
      </c>
      <c r="G61" s="168"/>
      <c r="H61" s="38"/>
      <c r="I61" s="167"/>
      <c r="J61" s="168"/>
      <c r="M61" s="166" t="s">
        <v>18</v>
      </c>
      <c r="N61" s="166"/>
      <c r="O61" s="41"/>
      <c r="P61" s="41"/>
      <c r="Q61" s="167" t="s">
        <v>18</v>
      </c>
      <c r="R61" s="168"/>
      <c r="S61" s="38"/>
      <c r="T61" s="167"/>
      <c r="U61" s="168"/>
    </row>
    <row r="62" spans="2:21" ht="15.75" x14ac:dyDescent="0.25">
      <c r="B62" s="166" t="s">
        <v>18</v>
      </c>
      <c r="C62" s="166"/>
      <c r="D62" s="41"/>
      <c r="E62" s="41"/>
      <c r="F62" s="167" t="s">
        <v>18</v>
      </c>
      <c r="G62" s="168"/>
      <c r="H62" s="38"/>
      <c r="I62" s="167"/>
      <c r="J62" s="168"/>
      <c r="M62" s="166" t="s">
        <v>18</v>
      </c>
      <c r="N62" s="166"/>
      <c r="O62" s="41"/>
      <c r="P62" s="41"/>
      <c r="Q62" s="167" t="s">
        <v>18</v>
      </c>
      <c r="R62" s="168"/>
      <c r="S62" s="38"/>
      <c r="T62" s="167"/>
      <c r="U62" s="168"/>
    </row>
    <row r="63" spans="2:21" ht="15.75" x14ac:dyDescent="0.25">
      <c r="B63" s="166" t="s">
        <v>18</v>
      </c>
      <c r="C63" s="166"/>
      <c r="D63" s="41"/>
      <c r="E63" s="41"/>
      <c r="F63" s="167" t="s">
        <v>18</v>
      </c>
      <c r="G63" s="168"/>
      <c r="H63" s="38"/>
      <c r="I63" s="167"/>
      <c r="J63" s="168"/>
      <c r="M63" s="166" t="s">
        <v>18</v>
      </c>
      <c r="N63" s="166"/>
      <c r="O63" s="41"/>
      <c r="P63" s="41"/>
      <c r="Q63" s="167" t="s">
        <v>18</v>
      </c>
      <c r="R63" s="168"/>
      <c r="S63" s="38"/>
      <c r="T63" s="167"/>
      <c r="U63" s="168"/>
    </row>
    <row r="64" spans="2:21" ht="15.75" x14ac:dyDescent="0.25">
      <c r="B64" s="166" t="s">
        <v>18</v>
      </c>
      <c r="C64" s="166"/>
      <c r="D64" s="41"/>
      <c r="E64" s="41"/>
      <c r="F64" s="167" t="s">
        <v>18</v>
      </c>
      <c r="G64" s="168"/>
      <c r="H64" s="38"/>
      <c r="I64" s="167"/>
      <c r="J64" s="168"/>
      <c r="M64" s="166" t="s">
        <v>18</v>
      </c>
      <c r="N64" s="166"/>
      <c r="O64" s="41"/>
      <c r="P64" s="41"/>
      <c r="Q64" s="167" t="s">
        <v>18</v>
      </c>
      <c r="R64" s="168"/>
      <c r="S64" s="38"/>
      <c r="T64" s="167"/>
      <c r="U64" s="168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23B2-6A12-4177-B1E6-EEE36359261A}">
  <sheetPr>
    <tabColor rgb="FFFFFF00"/>
  </sheetPr>
  <dimension ref="A1:U64"/>
  <sheetViews>
    <sheetView showGridLines="0" topLeftCell="E25" workbookViewId="0">
      <selection activeCell="P35" sqref="P35"/>
    </sheetView>
  </sheetViews>
  <sheetFormatPr defaultRowHeight="15" x14ac:dyDescent="0.25"/>
  <sheetData>
    <row r="1" spans="1:21" x14ac:dyDescent="0.25">
      <c r="A1" s="195">
        <f ca="1">TODAY()</f>
        <v>46065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0.8</v>
      </c>
      <c r="E29" s="35">
        <f>B29+D29</f>
        <v>30.8</v>
      </c>
      <c r="F29" s="177">
        <f>$E$19</f>
        <v>30</v>
      </c>
      <c r="G29" s="178"/>
      <c r="H29" s="34">
        <v>0.1</v>
      </c>
      <c r="I29" s="175">
        <f>F29+H29</f>
        <v>30.1</v>
      </c>
      <c r="J29" s="176"/>
      <c r="M29" s="179">
        <f>$E$18</f>
        <v>30</v>
      </c>
      <c r="N29" s="180"/>
      <c r="O29" s="36">
        <v>0.7</v>
      </c>
      <c r="P29" s="37">
        <f>M29+O29</f>
        <v>30.7</v>
      </c>
      <c r="Q29" s="179">
        <f>$E$19</f>
        <v>30</v>
      </c>
      <c r="R29" s="180"/>
      <c r="S29" s="36">
        <v>0.5</v>
      </c>
      <c r="T29" s="181">
        <f>Q29+S29</f>
        <v>30.5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0.1</v>
      </c>
      <c r="E31" s="40">
        <f>$E$20+D31</f>
        <v>30.1</v>
      </c>
      <c r="F31" s="167" t="s">
        <v>16</v>
      </c>
      <c r="G31" s="168"/>
      <c r="H31" s="34">
        <v>0</v>
      </c>
      <c r="I31" s="175">
        <f>$E$21+H31</f>
        <v>30</v>
      </c>
      <c r="J31" s="176"/>
      <c r="M31" s="166" t="s">
        <v>17</v>
      </c>
      <c r="N31" s="166"/>
      <c r="O31" s="39">
        <v>0.1</v>
      </c>
      <c r="P31" s="40">
        <f>$E$20+O31</f>
        <v>30.1</v>
      </c>
      <c r="Q31" s="167" t="s">
        <v>17</v>
      </c>
      <c r="R31" s="168"/>
      <c r="S31" s="34">
        <v>0.1</v>
      </c>
      <c r="T31" s="175">
        <f>$E$21+S31</f>
        <v>30.1</v>
      </c>
      <c r="U31" s="176"/>
    </row>
    <row r="32" spans="1:21" ht="15.75" x14ac:dyDescent="0.25">
      <c r="A32" s="23"/>
      <c r="B32" s="166" t="s">
        <v>18</v>
      </c>
      <c r="C32" s="166"/>
      <c r="D32" s="41"/>
      <c r="E32" s="41"/>
      <c r="F32" s="167" t="s">
        <v>18</v>
      </c>
      <c r="G32" s="168"/>
      <c r="H32" s="38"/>
      <c r="I32" s="167"/>
      <c r="J32" s="168"/>
      <c r="M32" s="166" t="s">
        <v>18</v>
      </c>
      <c r="N32" s="166"/>
      <c r="O32" s="41"/>
      <c r="P32" s="41"/>
      <c r="Q32" s="167" t="s">
        <v>18</v>
      </c>
      <c r="R32" s="168"/>
      <c r="S32" s="38"/>
      <c r="T32" s="167"/>
      <c r="U32" s="168"/>
    </row>
    <row r="33" spans="1:21" ht="15.75" x14ac:dyDescent="0.25">
      <c r="A33" s="23"/>
      <c r="B33" s="166" t="s">
        <v>18</v>
      </c>
      <c r="C33" s="166"/>
      <c r="D33" s="41"/>
      <c r="E33" s="41"/>
      <c r="F33" s="167" t="s">
        <v>18</v>
      </c>
      <c r="G33" s="168"/>
      <c r="H33" s="38"/>
      <c r="I33" s="167"/>
      <c r="J33" s="168"/>
      <c r="M33" s="166" t="s">
        <v>18</v>
      </c>
      <c r="N33" s="166"/>
      <c r="O33" s="41"/>
      <c r="P33" s="41"/>
      <c r="Q33" s="167" t="s">
        <v>18</v>
      </c>
      <c r="R33" s="168"/>
      <c r="S33" s="38"/>
      <c r="T33" s="167"/>
      <c r="U33" s="168"/>
    </row>
    <row r="34" spans="1:21" ht="15.75" x14ac:dyDescent="0.25">
      <c r="A34" s="23"/>
      <c r="B34" s="166" t="s">
        <v>19</v>
      </c>
      <c r="C34" s="166"/>
      <c r="D34" s="41"/>
      <c r="E34" s="41"/>
      <c r="F34" s="167" t="s">
        <v>18</v>
      </c>
      <c r="G34" s="168"/>
      <c r="H34" s="38"/>
      <c r="I34" s="167"/>
      <c r="J34" s="168"/>
      <c r="M34" s="166" t="s">
        <v>19</v>
      </c>
      <c r="N34" s="166"/>
      <c r="O34" s="41"/>
      <c r="P34" s="41"/>
      <c r="Q34" s="167" t="s">
        <v>18</v>
      </c>
      <c r="R34" s="168"/>
      <c r="S34" s="38"/>
      <c r="T34" s="167"/>
      <c r="U34" s="168"/>
    </row>
    <row r="35" spans="1:21" ht="15.75" x14ac:dyDescent="0.25">
      <c r="A35" s="23"/>
      <c r="B35" s="166" t="s">
        <v>18</v>
      </c>
      <c r="C35" s="166"/>
      <c r="D35" s="41"/>
      <c r="E35" s="41"/>
      <c r="F35" s="167" t="s">
        <v>18</v>
      </c>
      <c r="G35" s="168"/>
      <c r="H35" s="38"/>
      <c r="I35" s="167"/>
      <c r="J35" s="168"/>
      <c r="M35" s="166" t="s">
        <v>18</v>
      </c>
      <c r="N35" s="166"/>
      <c r="O35" s="41"/>
      <c r="P35" s="41"/>
      <c r="Q35" s="167" t="s">
        <v>18</v>
      </c>
      <c r="R35" s="168"/>
      <c r="S35" s="38"/>
      <c r="T35" s="167"/>
      <c r="U35" s="168"/>
    </row>
    <row r="36" spans="1:21" ht="15.75" x14ac:dyDescent="0.25">
      <c r="A36" s="23"/>
      <c r="B36" s="166" t="s">
        <v>18</v>
      </c>
      <c r="C36" s="166"/>
      <c r="D36" s="41"/>
      <c r="E36" s="41"/>
      <c r="F36" s="167" t="s">
        <v>18</v>
      </c>
      <c r="G36" s="168"/>
      <c r="H36" s="38"/>
      <c r="I36" s="167"/>
      <c r="J36" s="168"/>
      <c r="M36" s="166" t="s">
        <v>18</v>
      </c>
      <c r="N36" s="166"/>
      <c r="O36" s="41"/>
      <c r="P36" s="41"/>
      <c r="Q36" s="167" t="s">
        <v>18</v>
      </c>
      <c r="R36" s="168"/>
      <c r="S36" s="38"/>
      <c r="T36" s="167"/>
      <c r="U36" s="168"/>
    </row>
    <row r="37" spans="1:21" ht="15.75" x14ac:dyDescent="0.25">
      <c r="A37" s="23"/>
      <c r="B37" s="166" t="s">
        <v>18</v>
      </c>
      <c r="C37" s="166"/>
      <c r="D37" s="41"/>
      <c r="E37" s="41"/>
      <c r="F37" s="167" t="s">
        <v>18</v>
      </c>
      <c r="G37" s="168"/>
      <c r="H37" s="38"/>
      <c r="I37" s="167"/>
      <c r="J37" s="168"/>
      <c r="M37" s="166" t="s">
        <v>18</v>
      </c>
      <c r="N37" s="166"/>
      <c r="O37" s="41"/>
      <c r="P37" s="41"/>
      <c r="Q37" s="167" t="s">
        <v>18</v>
      </c>
      <c r="R37" s="168"/>
      <c r="S37" s="38"/>
      <c r="T37" s="167"/>
      <c r="U37" s="168"/>
    </row>
    <row r="38" spans="1:21" ht="15.75" x14ac:dyDescent="0.25">
      <c r="A38" s="23"/>
      <c r="B38" s="166" t="s">
        <v>18</v>
      </c>
      <c r="C38" s="166"/>
      <c r="D38" s="41"/>
      <c r="E38" s="41"/>
      <c r="F38" s="167" t="s">
        <v>18</v>
      </c>
      <c r="G38" s="168"/>
      <c r="H38" s="38"/>
      <c r="I38" s="167"/>
      <c r="J38" s="168"/>
      <c r="M38" s="166" t="s">
        <v>18</v>
      </c>
      <c r="N38" s="166"/>
      <c r="O38" s="41"/>
      <c r="P38" s="41"/>
      <c r="Q38" s="167" t="s">
        <v>18</v>
      </c>
      <c r="R38" s="168"/>
      <c r="S38" s="38"/>
      <c r="T38" s="167"/>
      <c r="U38" s="168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>$E$20+D44</f>
        <v>30</v>
      </c>
      <c r="F44" s="167" t="s">
        <v>16</v>
      </c>
      <c r="G44" s="168"/>
      <c r="H44" s="34"/>
      <c r="I44" s="175">
        <f>$E$21+H44</f>
        <v>30</v>
      </c>
      <c r="J44" s="176"/>
      <c r="M44" s="166" t="s">
        <v>17</v>
      </c>
      <c r="N44" s="166"/>
      <c r="O44" s="39"/>
      <c r="P44" s="40">
        <f>$E$20+O44</f>
        <v>30</v>
      </c>
      <c r="Q44" s="167" t="s">
        <v>17</v>
      </c>
      <c r="R44" s="168"/>
      <c r="S44" s="34"/>
      <c r="T44" s="175">
        <f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1"/>
      <c r="F45" s="167" t="s">
        <v>18</v>
      </c>
      <c r="G45" s="168"/>
      <c r="H45" s="38"/>
      <c r="I45" s="167"/>
      <c r="J45" s="168"/>
      <c r="M45" s="166" t="s">
        <v>18</v>
      </c>
      <c r="N45" s="166"/>
      <c r="O45" s="41"/>
      <c r="P45" s="41"/>
      <c r="Q45" s="167" t="s">
        <v>18</v>
      </c>
      <c r="R45" s="168"/>
      <c r="S45" s="38"/>
      <c r="T45" s="167"/>
      <c r="U45" s="168"/>
    </row>
    <row r="46" spans="1:21" ht="15.75" x14ac:dyDescent="0.25">
      <c r="B46" s="166" t="s">
        <v>18</v>
      </c>
      <c r="C46" s="166"/>
      <c r="D46" s="41"/>
      <c r="E46" s="41"/>
      <c r="F46" s="167" t="s">
        <v>18</v>
      </c>
      <c r="G46" s="168"/>
      <c r="H46" s="38"/>
      <c r="I46" s="167"/>
      <c r="J46" s="168"/>
      <c r="M46" s="166" t="s">
        <v>18</v>
      </c>
      <c r="N46" s="166"/>
      <c r="O46" s="41"/>
      <c r="P46" s="41"/>
      <c r="Q46" s="167" t="s">
        <v>18</v>
      </c>
      <c r="R46" s="168"/>
      <c r="S46" s="38"/>
      <c r="T46" s="167"/>
      <c r="U46" s="168"/>
    </row>
    <row r="47" spans="1:21" ht="15.75" x14ac:dyDescent="0.25">
      <c r="B47" s="166" t="s">
        <v>19</v>
      </c>
      <c r="C47" s="166"/>
      <c r="D47" s="41"/>
      <c r="E47" s="41"/>
      <c r="F47" s="167" t="s">
        <v>18</v>
      </c>
      <c r="G47" s="168"/>
      <c r="H47" s="38"/>
      <c r="I47" s="167"/>
      <c r="J47" s="168"/>
      <c r="M47" s="166" t="s">
        <v>19</v>
      </c>
      <c r="N47" s="166"/>
      <c r="O47" s="41"/>
      <c r="P47" s="41"/>
      <c r="Q47" s="167" t="s">
        <v>18</v>
      </c>
      <c r="R47" s="168"/>
      <c r="S47" s="38"/>
      <c r="T47" s="167"/>
      <c r="U47" s="168"/>
    </row>
    <row r="48" spans="1:21" ht="15.75" x14ac:dyDescent="0.25">
      <c r="B48" s="166" t="s">
        <v>18</v>
      </c>
      <c r="C48" s="166"/>
      <c r="D48" s="41"/>
      <c r="E48" s="41"/>
      <c r="F48" s="167" t="s">
        <v>18</v>
      </c>
      <c r="G48" s="168"/>
      <c r="H48" s="38"/>
      <c r="I48" s="167"/>
      <c r="J48" s="168"/>
      <c r="M48" s="166" t="s">
        <v>18</v>
      </c>
      <c r="N48" s="166"/>
      <c r="O48" s="41"/>
      <c r="P48" s="41"/>
      <c r="Q48" s="167" t="s">
        <v>18</v>
      </c>
      <c r="R48" s="168"/>
      <c r="S48" s="38"/>
      <c r="T48" s="167"/>
      <c r="U48" s="168"/>
    </row>
    <row r="49" spans="2:21" ht="15.75" x14ac:dyDescent="0.25">
      <c r="B49" s="166" t="s">
        <v>18</v>
      </c>
      <c r="C49" s="166"/>
      <c r="D49" s="41"/>
      <c r="E49" s="41"/>
      <c r="F49" s="167" t="s">
        <v>18</v>
      </c>
      <c r="G49" s="168"/>
      <c r="H49" s="38"/>
      <c r="I49" s="167"/>
      <c r="J49" s="168"/>
      <c r="M49" s="166" t="s">
        <v>18</v>
      </c>
      <c r="N49" s="166"/>
      <c r="O49" s="41"/>
      <c r="P49" s="41"/>
      <c r="Q49" s="167" t="s">
        <v>18</v>
      </c>
      <c r="R49" s="168"/>
      <c r="S49" s="38"/>
      <c r="T49" s="167"/>
      <c r="U49" s="168"/>
    </row>
    <row r="50" spans="2:21" ht="15.75" x14ac:dyDescent="0.25">
      <c r="B50" s="166" t="s">
        <v>18</v>
      </c>
      <c r="C50" s="166"/>
      <c r="D50" s="41"/>
      <c r="E50" s="41"/>
      <c r="F50" s="167" t="s">
        <v>18</v>
      </c>
      <c r="G50" s="168"/>
      <c r="H50" s="38"/>
      <c r="I50" s="167"/>
      <c r="J50" s="168"/>
      <c r="M50" s="166" t="s">
        <v>18</v>
      </c>
      <c r="N50" s="166"/>
      <c r="O50" s="41"/>
      <c r="P50" s="41"/>
      <c r="Q50" s="167" t="s">
        <v>18</v>
      </c>
      <c r="R50" s="168"/>
      <c r="S50" s="38"/>
      <c r="T50" s="167"/>
      <c r="U50" s="168"/>
    </row>
    <row r="51" spans="2:21" ht="15.75" x14ac:dyDescent="0.25">
      <c r="B51" s="166" t="s">
        <v>18</v>
      </c>
      <c r="C51" s="166"/>
      <c r="D51" s="41"/>
      <c r="E51" s="41"/>
      <c r="F51" s="167" t="s">
        <v>18</v>
      </c>
      <c r="G51" s="168"/>
      <c r="H51" s="38"/>
      <c r="I51" s="167"/>
      <c r="J51" s="168"/>
      <c r="M51" s="166" t="s">
        <v>18</v>
      </c>
      <c r="N51" s="166"/>
      <c r="O51" s="41"/>
      <c r="P51" s="41"/>
      <c r="Q51" s="167" t="s">
        <v>18</v>
      </c>
      <c r="R51" s="168"/>
      <c r="S51" s="38"/>
      <c r="T51" s="167"/>
      <c r="U51" s="168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>$E$20+D57</f>
        <v>30</v>
      </c>
      <c r="F57" s="167" t="s">
        <v>16</v>
      </c>
      <c r="G57" s="168"/>
      <c r="H57" s="34"/>
      <c r="I57" s="175">
        <f>$E$21+H57</f>
        <v>30</v>
      </c>
      <c r="J57" s="176"/>
      <c r="M57" s="166" t="s">
        <v>17</v>
      </c>
      <c r="N57" s="166"/>
      <c r="O57" s="39"/>
      <c r="P57" s="40">
        <f>$E$20+O57</f>
        <v>30</v>
      </c>
      <c r="Q57" s="167" t="s">
        <v>17</v>
      </c>
      <c r="R57" s="168"/>
      <c r="S57" s="34"/>
      <c r="T57" s="175">
        <f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1"/>
      <c r="F58" s="167" t="s">
        <v>18</v>
      </c>
      <c r="G58" s="168"/>
      <c r="H58" s="38"/>
      <c r="I58" s="167"/>
      <c r="J58" s="168"/>
      <c r="M58" s="166" t="s">
        <v>18</v>
      </c>
      <c r="N58" s="166"/>
      <c r="O58" s="41"/>
      <c r="P58" s="41"/>
      <c r="Q58" s="167" t="s">
        <v>18</v>
      </c>
      <c r="R58" s="168"/>
      <c r="S58" s="38"/>
      <c r="T58" s="167"/>
      <c r="U58" s="168"/>
    </row>
    <row r="59" spans="2:21" ht="15.75" x14ac:dyDescent="0.25">
      <c r="B59" s="166" t="s">
        <v>18</v>
      </c>
      <c r="C59" s="166"/>
      <c r="D59" s="41"/>
      <c r="E59" s="41"/>
      <c r="F59" s="167" t="s">
        <v>18</v>
      </c>
      <c r="G59" s="168"/>
      <c r="H59" s="38"/>
      <c r="I59" s="167"/>
      <c r="J59" s="168"/>
      <c r="M59" s="166" t="s">
        <v>18</v>
      </c>
      <c r="N59" s="166"/>
      <c r="O59" s="41"/>
      <c r="P59" s="41"/>
      <c r="Q59" s="167" t="s">
        <v>18</v>
      </c>
      <c r="R59" s="168"/>
      <c r="S59" s="38"/>
      <c r="T59" s="167"/>
      <c r="U59" s="168"/>
    </row>
    <row r="60" spans="2:21" ht="15.75" x14ac:dyDescent="0.25">
      <c r="B60" s="166" t="s">
        <v>19</v>
      </c>
      <c r="C60" s="166"/>
      <c r="D60" s="41"/>
      <c r="E60" s="41"/>
      <c r="F60" s="167" t="s">
        <v>18</v>
      </c>
      <c r="G60" s="168"/>
      <c r="H60" s="38"/>
      <c r="I60" s="167"/>
      <c r="J60" s="168"/>
      <c r="M60" s="166" t="s">
        <v>19</v>
      </c>
      <c r="N60" s="166"/>
      <c r="O60" s="41"/>
      <c r="P60" s="41"/>
      <c r="Q60" s="167" t="s">
        <v>18</v>
      </c>
      <c r="R60" s="168"/>
      <c r="S60" s="38"/>
      <c r="T60" s="167"/>
      <c r="U60" s="168"/>
    </row>
    <row r="61" spans="2:21" ht="15.75" x14ac:dyDescent="0.25">
      <c r="B61" s="166" t="s">
        <v>18</v>
      </c>
      <c r="C61" s="166"/>
      <c r="D61" s="41"/>
      <c r="E61" s="41"/>
      <c r="F61" s="167" t="s">
        <v>18</v>
      </c>
      <c r="G61" s="168"/>
      <c r="H61" s="38"/>
      <c r="I61" s="167"/>
      <c r="J61" s="168"/>
      <c r="M61" s="166" t="s">
        <v>18</v>
      </c>
      <c r="N61" s="166"/>
      <c r="O61" s="41"/>
      <c r="P61" s="41"/>
      <c r="Q61" s="167" t="s">
        <v>18</v>
      </c>
      <c r="R61" s="168"/>
      <c r="S61" s="38"/>
      <c r="T61" s="167"/>
      <c r="U61" s="168"/>
    </row>
    <row r="62" spans="2:21" ht="15.75" x14ac:dyDescent="0.25">
      <c r="B62" s="166" t="s">
        <v>18</v>
      </c>
      <c r="C62" s="166"/>
      <c r="D62" s="41"/>
      <c r="E62" s="41"/>
      <c r="F62" s="167" t="s">
        <v>18</v>
      </c>
      <c r="G62" s="168"/>
      <c r="H62" s="38"/>
      <c r="I62" s="167"/>
      <c r="J62" s="168"/>
      <c r="M62" s="166" t="s">
        <v>18</v>
      </c>
      <c r="N62" s="166"/>
      <c r="O62" s="41"/>
      <c r="P62" s="41"/>
      <c r="Q62" s="167" t="s">
        <v>18</v>
      </c>
      <c r="R62" s="168"/>
      <c r="S62" s="38"/>
      <c r="T62" s="167"/>
      <c r="U62" s="168"/>
    </row>
    <row r="63" spans="2:21" ht="15.75" x14ac:dyDescent="0.25">
      <c r="B63" s="166" t="s">
        <v>18</v>
      </c>
      <c r="C63" s="166"/>
      <c r="D63" s="41"/>
      <c r="E63" s="41"/>
      <c r="F63" s="167" t="s">
        <v>18</v>
      </c>
      <c r="G63" s="168"/>
      <c r="H63" s="38"/>
      <c r="I63" s="167"/>
      <c r="J63" s="168"/>
      <c r="M63" s="166" t="s">
        <v>18</v>
      </c>
      <c r="N63" s="166"/>
      <c r="O63" s="41"/>
      <c r="P63" s="41"/>
      <c r="Q63" s="167" t="s">
        <v>18</v>
      </c>
      <c r="R63" s="168"/>
      <c r="S63" s="38"/>
      <c r="T63" s="167"/>
      <c r="U63" s="168"/>
    </row>
    <row r="64" spans="2:21" ht="15.75" x14ac:dyDescent="0.25">
      <c r="B64" s="166" t="s">
        <v>18</v>
      </c>
      <c r="C64" s="166"/>
      <c r="D64" s="41"/>
      <c r="E64" s="41"/>
      <c r="F64" s="167" t="s">
        <v>18</v>
      </c>
      <c r="G64" s="168"/>
      <c r="H64" s="38"/>
      <c r="I64" s="167"/>
      <c r="J64" s="168"/>
      <c r="M64" s="166" t="s">
        <v>18</v>
      </c>
      <c r="N64" s="166"/>
      <c r="O64" s="41"/>
      <c r="P64" s="41"/>
      <c r="Q64" s="167" t="s">
        <v>18</v>
      </c>
      <c r="R64" s="168"/>
      <c r="S64" s="38"/>
      <c r="T64" s="167"/>
      <c r="U64" s="168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5C5B-B107-4552-AFBB-91C8A54A5440}">
  <sheetPr>
    <tabColor rgb="FFFFFF00"/>
  </sheetPr>
  <dimension ref="A1:U64"/>
  <sheetViews>
    <sheetView showGridLines="0" topLeftCell="A17" workbookViewId="0">
      <selection activeCell="E20" sqref="E20:F20"/>
    </sheetView>
  </sheetViews>
  <sheetFormatPr defaultRowHeight="15" x14ac:dyDescent="0.25"/>
  <sheetData>
    <row r="1" spans="1:21" x14ac:dyDescent="0.25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10</v>
      </c>
      <c r="F18" s="210"/>
      <c r="G18" s="211">
        <f>E18-(E22/2)</f>
        <v>5.25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10</v>
      </c>
      <c r="F19" s="192"/>
      <c r="G19" s="194">
        <f>E19-(E22/2)</f>
        <v>5.25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25.25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25.25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9.5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10</v>
      </c>
      <c r="C29" s="178"/>
      <c r="D29" s="34">
        <v>0.01</v>
      </c>
      <c r="E29" s="35">
        <f>B29+D29</f>
        <v>10.01</v>
      </c>
      <c r="F29" s="177">
        <f>$E$19</f>
        <v>10</v>
      </c>
      <c r="G29" s="178"/>
      <c r="H29" s="34">
        <v>0.02</v>
      </c>
      <c r="I29" s="175">
        <f>F29+H29</f>
        <v>10.02</v>
      </c>
      <c r="J29" s="176"/>
      <c r="M29" s="179">
        <f>$E$18</f>
        <v>10</v>
      </c>
      <c r="N29" s="180"/>
      <c r="O29" s="36">
        <v>0</v>
      </c>
      <c r="P29" s="37">
        <f>M29+O29</f>
        <v>10</v>
      </c>
      <c r="Q29" s="179">
        <f>$E$19</f>
        <v>10</v>
      </c>
      <c r="R29" s="180"/>
      <c r="S29" s="36">
        <v>0.1</v>
      </c>
      <c r="T29" s="181">
        <f>Q29+S29</f>
        <v>10.1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30</v>
      </c>
      <c r="F31" s="167" t="s">
        <v>16</v>
      </c>
      <c r="G31" s="168"/>
      <c r="H31" s="34">
        <v>0.01</v>
      </c>
      <c r="I31" s="175">
        <f t="shared" ref="I31:I38" si="1">$E$21+H31</f>
        <v>30.01</v>
      </c>
      <c r="J31" s="176"/>
      <c r="M31" s="166" t="s">
        <v>17</v>
      </c>
      <c r="N31" s="166"/>
      <c r="O31" s="39">
        <v>0</v>
      </c>
      <c r="P31" s="40">
        <f t="shared" ref="P31:P38" si="2">$E$20+O31</f>
        <v>30</v>
      </c>
      <c r="Q31" s="167" t="s">
        <v>17</v>
      </c>
      <c r="R31" s="168"/>
      <c r="S31" s="34">
        <v>0</v>
      </c>
      <c r="T31" s="175">
        <f t="shared" ref="T31:T38" si="3"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10</v>
      </c>
      <c r="C42" s="178"/>
      <c r="D42" s="34"/>
      <c r="E42" s="35">
        <f>B42+D42</f>
        <v>10</v>
      </c>
      <c r="F42" s="177">
        <f>$E$19</f>
        <v>10</v>
      </c>
      <c r="G42" s="178"/>
      <c r="H42" s="34"/>
      <c r="I42" s="175">
        <f>F42+H42</f>
        <v>10</v>
      </c>
      <c r="J42" s="176"/>
      <c r="M42" s="179">
        <f>$E$18</f>
        <v>10</v>
      </c>
      <c r="N42" s="180"/>
      <c r="O42" s="36"/>
      <c r="P42" s="37">
        <f>M42+O42</f>
        <v>10</v>
      </c>
      <c r="Q42" s="179">
        <f>$E$19</f>
        <v>10</v>
      </c>
      <c r="R42" s="180"/>
      <c r="S42" s="36"/>
      <c r="T42" s="181">
        <f>Q42+S42</f>
        <v>10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10</v>
      </c>
      <c r="C55" s="178"/>
      <c r="D55" s="34"/>
      <c r="E55" s="35">
        <f>B55+D55</f>
        <v>10</v>
      </c>
      <c r="F55" s="177">
        <f>$E$19</f>
        <v>10</v>
      </c>
      <c r="G55" s="178"/>
      <c r="H55" s="34"/>
      <c r="I55" s="175">
        <f>F55+H55</f>
        <v>10</v>
      </c>
      <c r="J55" s="176"/>
      <c r="M55" s="179">
        <f>$E$18</f>
        <v>10</v>
      </c>
      <c r="N55" s="180"/>
      <c r="O55" s="36"/>
      <c r="P55" s="37">
        <f>M55+O55</f>
        <v>10</v>
      </c>
      <c r="Q55" s="179">
        <f>$E$19</f>
        <v>10</v>
      </c>
      <c r="R55" s="180"/>
      <c r="S55" s="36"/>
      <c r="T55" s="181">
        <f>Q55+S55</f>
        <v>10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ACB7-7579-4956-96DE-9E78DE2B469E}">
  <sheetPr>
    <tabColor rgb="FF00B0F0"/>
  </sheetPr>
  <dimension ref="A1:M2"/>
  <sheetViews>
    <sheetView workbookViewId="0">
      <selection activeCell="O18" sqref="O18"/>
    </sheetView>
  </sheetViews>
  <sheetFormatPr defaultRowHeight="15" x14ac:dyDescent="0.25"/>
  <cols>
    <col min="1" max="1" width="27.28515625" style="4" customWidth="1"/>
    <col min="2" max="2" width="9.140625" style="21"/>
    <col min="3" max="13" width="9.140625" style="4"/>
  </cols>
  <sheetData>
    <row r="1" spans="1:13" x14ac:dyDescent="0.25">
      <c r="A1" s="22" t="s">
        <v>24</v>
      </c>
      <c r="B1" s="224" t="s">
        <v>25</v>
      </c>
      <c r="C1" s="225"/>
      <c r="D1" s="225"/>
      <c r="E1" s="226"/>
      <c r="G1" s="220" t="s">
        <v>26</v>
      </c>
      <c r="H1" s="220"/>
      <c r="I1" s="220"/>
      <c r="K1" s="220" t="s">
        <v>27</v>
      </c>
      <c r="L1" s="220"/>
      <c r="M1" s="220"/>
    </row>
    <row r="2" spans="1:13" x14ac:dyDescent="0.25">
      <c r="A2" s="221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3"/>
    </row>
  </sheetData>
  <mergeCells count="4">
    <mergeCell ref="G1:I1"/>
    <mergeCell ref="K1:M1"/>
    <mergeCell ref="A2:M2"/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106E-75BD-470D-A87A-3439F813168B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/>
      <c r="F18" s="210"/>
      <c r="G18" s="211">
        <f>E18-(E22/2)</f>
        <v>0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/>
      <c r="F19" s="192"/>
      <c r="G19" s="194">
        <f>E19-(E22/2)</f>
        <v>0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/>
      <c r="F20" s="192"/>
      <c r="G20" s="194">
        <f>E20-(E22/2)</f>
        <v>0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/>
      <c r="F21" s="192"/>
      <c r="G21" s="194">
        <f>E21-(E22/2)</f>
        <v>0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/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0</v>
      </c>
      <c r="C29" s="178"/>
      <c r="D29" s="34"/>
      <c r="E29" s="35">
        <f>B29+D29</f>
        <v>0</v>
      </c>
      <c r="F29" s="177">
        <f>$E$19</f>
        <v>0</v>
      </c>
      <c r="G29" s="178"/>
      <c r="H29" s="34"/>
      <c r="I29" s="175">
        <f>F29+H29</f>
        <v>0</v>
      </c>
      <c r="J29" s="176"/>
      <c r="M29" s="179">
        <f>$E$18</f>
        <v>0</v>
      </c>
      <c r="N29" s="180"/>
      <c r="O29" s="36"/>
      <c r="P29" s="37">
        <f>M29+O29</f>
        <v>0</v>
      </c>
      <c r="Q29" s="179">
        <f>$E$19</f>
        <v>0</v>
      </c>
      <c r="R29" s="180"/>
      <c r="S29" s="36"/>
      <c r="T29" s="181">
        <f>Q29+S29</f>
        <v>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/>
      <c r="E31" s="40">
        <f t="shared" ref="E31:E38" si="0">$E$20+D31</f>
        <v>0</v>
      </c>
      <c r="F31" s="167" t="s">
        <v>16</v>
      </c>
      <c r="G31" s="168"/>
      <c r="H31" s="34"/>
      <c r="I31" s="175">
        <f t="shared" ref="I31:I38" si="1">$E$21+H31</f>
        <v>0</v>
      </c>
      <c r="J31" s="176"/>
      <c r="M31" s="166" t="s">
        <v>17</v>
      </c>
      <c r="N31" s="166"/>
      <c r="O31" s="39"/>
      <c r="P31" s="40">
        <f t="shared" ref="P31:P38" si="2">$E$20+O31</f>
        <v>0</v>
      </c>
      <c r="Q31" s="167" t="s">
        <v>17</v>
      </c>
      <c r="R31" s="168"/>
      <c r="S31" s="34"/>
      <c r="T31" s="175">
        <f t="shared" ref="T31:T38" si="3">$E$21+S31</f>
        <v>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0</v>
      </c>
      <c r="F32" s="167" t="s">
        <v>18</v>
      </c>
      <c r="G32" s="168"/>
      <c r="H32" s="38"/>
      <c r="I32" s="175">
        <f t="shared" si="1"/>
        <v>0</v>
      </c>
      <c r="J32" s="176"/>
      <c r="M32" s="166" t="s">
        <v>18</v>
      </c>
      <c r="N32" s="166"/>
      <c r="O32" s="41"/>
      <c r="P32" s="40">
        <f t="shared" si="2"/>
        <v>0</v>
      </c>
      <c r="Q32" s="167" t="s">
        <v>18</v>
      </c>
      <c r="R32" s="168"/>
      <c r="S32" s="38"/>
      <c r="T32" s="175">
        <f t="shared" si="3"/>
        <v>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0</v>
      </c>
      <c r="F33" s="167" t="s">
        <v>18</v>
      </c>
      <c r="G33" s="168"/>
      <c r="H33" s="38"/>
      <c r="I33" s="175">
        <f t="shared" si="1"/>
        <v>0</v>
      </c>
      <c r="J33" s="176"/>
      <c r="M33" s="166" t="s">
        <v>18</v>
      </c>
      <c r="N33" s="166"/>
      <c r="O33" s="41"/>
      <c r="P33" s="40">
        <f t="shared" si="2"/>
        <v>0</v>
      </c>
      <c r="Q33" s="167" t="s">
        <v>18</v>
      </c>
      <c r="R33" s="168"/>
      <c r="S33" s="38"/>
      <c r="T33" s="175">
        <f t="shared" si="3"/>
        <v>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0</v>
      </c>
      <c r="F34" s="167" t="s">
        <v>18</v>
      </c>
      <c r="G34" s="168"/>
      <c r="H34" s="38"/>
      <c r="I34" s="175">
        <f t="shared" si="1"/>
        <v>0</v>
      </c>
      <c r="J34" s="176"/>
      <c r="M34" s="166" t="s">
        <v>19</v>
      </c>
      <c r="N34" s="166"/>
      <c r="O34" s="41"/>
      <c r="P34" s="40">
        <f t="shared" si="2"/>
        <v>0</v>
      </c>
      <c r="Q34" s="167" t="s">
        <v>18</v>
      </c>
      <c r="R34" s="168"/>
      <c r="S34" s="38"/>
      <c r="T34" s="175">
        <f t="shared" si="3"/>
        <v>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0</v>
      </c>
      <c r="F35" s="167" t="s">
        <v>18</v>
      </c>
      <c r="G35" s="168"/>
      <c r="H35" s="38"/>
      <c r="I35" s="175">
        <f t="shared" si="1"/>
        <v>0</v>
      </c>
      <c r="J35" s="176"/>
      <c r="M35" s="166" t="s">
        <v>18</v>
      </c>
      <c r="N35" s="166"/>
      <c r="O35" s="41"/>
      <c r="P35" s="40">
        <f t="shared" si="2"/>
        <v>0</v>
      </c>
      <c r="Q35" s="167" t="s">
        <v>18</v>
      </c>
      <c r="R35" s="168"/>
      <c r="S35" s="38"/>
      <c r="T35" s="175">
        <f t="shared" si="3"/>
        <v>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0</v>
      </c>
      <c r="F36" s="167" t="s">
        <v>18</v>
      </c>
      <c r="G36" s="168"/>
      <c r="H36" s="38"/>
      <c r="I36" s="175">
        <f t="shared" si="1"/>
        <v>0</v>
      </c>
      <c r="J36" s="176"/>
      <c r="M36" s="166" t="s">
        <v>18</v>
      </c>
      <c r="N36" s="166"/>
      <c r="O36" s="41"/>
      <c r="P36" s="40">
        <f t="shared" si="2"/>
        <v>0</v>
      </c>
      <c r="Q36" s="167" t="s">
        <v>18</v>
      </c>
      <c r="R36" s="168"/>
      <c r="S36" s="38"/>
      <c r="T36" s="175">
        <f t="shared" si="3"/>
        <v>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0</v>
      </c>
      <c r="F37" s="167" t="s">
        <v>18</v>
      </c>
      <c r="G37" s="168"/>
      <c r="H37" s="38"/>
      <c r="I37" s="175">
        <f t="shared" si="1"/>
        <v>0</v>
      </c>
      <c r="J37" s="176"/>
      <c r="M37" s="166" t="s">
        <v>18</v>
      </c>
      <c r="N37" s="166"/>
      <c r="O37" s="41"/>
      <c r="P37" s="40">
        <f t="shared" si="2"/>
        <v>0</v>
      </c>
      <c r="Q37" s="167" t="s">
        <v>18</v>
      </c>
      <c r="R37" s="168"/>
      <c r="S37" s="38"/>
      <c r="T37" s="175">
        <f t="shared" si="3"/>
        <v>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0</v>
      </c>
      <c r="F38" s="167" t="s">
        <v>18</v>
      </c>
      <c r="G38" s="168"/>
      <c r="H38" s="38"/>
      <c r="I38" s="175">
        <f t="shared" si="1"/>
        <v>0</v>
      </c>
      <c r="J38" s="176"/>
      <c r="M38" s="166" t="s">
        <v>18</v>
      </c>
      <c r="N38" s="166"/>
      <c r="O38" s="41"/>
      <c r="P38" s="40">
        <f t="shared" si="2"/>
        <v>0</v>
      </c>
      <c r="Q38" s="167" t="s">
        <v>18</v>
      </c>
      <c r="R38" s="168"/>
      <c r="S38" s="38"/>
      <c r="T38" s="175">
        <f t="shared" si="3"/>
        <v>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0</v>
      </c>
      <c r="C42" s="178"/>
      <c r="D42" s="34"/>
      <c r="E42" s="35">
        <f>B42+D42</f>
        <v>0</v>
      </c>
      <c r="F42" s="177">
        <f>$E$19</f>
        <v>0</v>
      </c>
      <c r="G42" s="178"/>
      <c r="H42" s="34"/>
      <c r="I42" s="175">
        <f>F42+H42</f>
        <v>0</v>
      </c>
      <c r="J42" s="176"/>
      <c r="M42" s="179">
        <f>$E$18</f>
        <v>0</v>
      </c>
      <c r="N42" s="180"/>
      <c r="O42" s="36"/>
      <c r="P42" s="37">
        <f>M42+O42</f>
        <v>0</v>
      </c>
      <c r="Q42" s="179">
        <f>$E$19</f>
        <v>0</v>
      </c>
      <c r="R42" s="180"/>
      <c r="S42" s="36"/>
      <c r="T42" s="181">
        <f>Q42+S42</f>
        <v>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0</v>
      </c>
      <c r="F44" s="167" t="s">
        <v>16</v>
      </c>
      <c r="G44" s="168"/>
      <c r="H44" s="34"/>
      <c r="I44" s="175">
        <f t="shared" ref="I44:I51" si="5">$E$21+H44</f>
        <v>0</v>
      </c>
      <c r="J44" s="176"/>
      <c r="M44" s="166" t="s">
        <v>17</v>
      </c>
      <c r="N44" s="166"/>
      <c r="O44" s="39"/>
      <c r="P44" s="40">
        <f t="shared" ref="P44:P51" si="6">$E$20+O44</f>
        <v>0</v>
      </c>
      <c r="Q44" s="167" t="s">
        <v>17</v>
      </c>
      <c r="R44" s="168"/>
      <c r="S44" s="34"/>
      <c r="T44" s="175">
        <f t="shared" ref="T44:T51" si="7">$E$21+S44</f>
        <v>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0</v>
      </c>
      <c r="F45" s="167" t="s">
        <v>18</v>
      </c>
      <c r="G45" s="168"/>
      <c r="H45" s="38"/>
      <c r="I45" s="175">
        <f t="shared" si="5"/>
        <v>0</v>
      </c>
      <c r="J45" s="176"/>
      <c r="M45" s="166" t="s">
        <v>18</v>
      </c>
      <c r="N45" s="166"/>
      <c r="O45" s="41"/>
      <c r="P45" s="40">
        <f t="shared" si="6"/>
        <v>0</v>
      </c>
      <c r="Q45" s="167" t="s">
        <v>18</v>
      </c>
      <c r="R45" s="168"/>
      <c r="S45" s="38"/>
      <c r="T45" s="175">
        <f t="shared" si="7"/>
        <v>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0</v>
      </c>
      <c r="F46" s="167" t="s">
        <v>18</v>
      </c>
      <c r="G46" s="168"/>
      <c r="H46" s="38"/>
      <c r="I46" s="175">
        <f t="shared" si="5"/>
        <v>0</v>
      </c>
      <c r="J46" s="176"/>
      <c r="M46" s="166" t="s">
        <v>18</v>
      </c>
      <c r="N46" s="166"/>
      <c r="O46" s="41"/>
      <c r="P46" s="40">
        <f t="shared" si="6"/>
        <v>0</v>
      </c>
      <c r="Q46" s="167" t="s">
        <v>18</v>
      </c>
      <c r="R46" s="168"/>
      <c r="S46" s="38"/>
      <c r="T46" s="175">
        <f t="shared" si="7"/>
        <v>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0</v>
      </c>
      <c r="F47" s="167" t="s">
        <v>18</v>
      </c>
      <c r="G47" s="168"/>
      <c r="H47" s="38"/>
      <c r="I47" s="175">
        <f t="shared" si="5"/>
        <v>0</v>
      </c>
      <c r="J47" s="176"/>
      <c r="M47" s="166" t="s">
        <v>19</v>
      </c>
      <c r="N47" s="166"/>
      <c r="O47" s="41"/>
      <c r="P47" s="40">
        <f t="shared" si="6"/>
        <v>0</v>
      </c>
      <c r="Q47" s="167" t="s">
        <v>18</v>
      </c>
      <c r="R47" s="168"/>
      <c r="S47" s="38"/>
      <c r="T47" s="175">
        <f t="shared" si="7"/>
        <v>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0</v>
      </c>
      <c r="F48" s="167" t="s">
        <v>18</v>
      </c>
      <c r="G48" s="168"/>
      <c r="H48" s="38"/>
      <c r="I48" s="175">
        <f t="shared" si="5"/>
        <v>0</v>
      </c>
      <c r="J48" s="176"/>
      <c r="M48" s="166" t="s">
        <v>18</v>
      </c>
      <c r="N48" s="166"/>
      <c r="O48" s="41"/>
      <c r="P48" s="40">
        <f t="shared" si="6"/>
        <v>0</v>
      </c>
      <c r="Q48" s="167" t="s">
        <v>18</v>
      </c>
      <c r="R48" s="168"/>
      <c r="S48" s="38"/>
      <c r="T48" s="175">
        <f t="shared" si="7"/>
        <v>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0</v>
      </c>
      <c r="F49" s="167" t="s">
        <v>18</v>
      </c>
      <c r="G49" s="168"/>
      <c r="H49" s="38"/>
      <c r="I49" s="175">
        <f t="shared" si="5"/>
        <v>0</v>
      </c>
      <c r="J49" s="176"/>
      <c r="M49" s="166" t="s">
        <v>18</v>
      </c>
      <c r="N49" s="166"/>
      <c r="O49" s="41"/>
      <c r="P49" s="40">
        <f t="shared" si="6"/>
        <v>0</v>
      </c>
      <c r="Q49" s="167" t="s">
        <v>18</v>
      </c>
      <c r="R49" s="168"/>
      <c r="S49" s="38"/>
      <c r="T49" s="175">
        <f t="shared" si="7"/>
        <v>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0</v>
      </c>
      <c r="F50" s="167" t="s">
        <v>18</v>
      </c>
      <c r="G50" s="168"/>
      <c r="H50" s="38"/>
      <c r="I50" s="175">
        <f t="shared" si="5"/>
        <v>0</v>
      </c>
      <c r="J50" s="176"/>
      <c r="M50" s="166" t="s">
        <v>18</v>
      </c>
      <c r="N50" s="166"/>
      <c r="O50" s="41"/>
      <c r="P50" s="40">
        <f t="shared" si="6"/>
        <v>0</v>
      </c>
      <c r="Q50" s="167" t="s">
        <v>18</v>
      </c>
      <c r="R50" s="168"/>
      <c r="S50" s="38"/>
      <c r="T50" s="175">
        <f t="shared" si="7"/>
        <v>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0</v>
      </c>
      <c r="F51" s="167" t="s">
        <v>18</v>
      </c>
      <c r="G51" s="168"/>
      <c r="H51" s="38"/>
      <c r="I51" s="175">
        <f t="shared" si="5"/>
        <v>0</v>
      </c>
      <c r="J51" s="176"/>
      <c r="M51" s="166" t="s">
        <v>18</v>
      </c>
      <c r="N51" s="166"/>
      <c r="O51" s="41"/>
      <c r="P51" s="40">
        <f t="shared" si="6"/>
        <v>0</v>
      </c>
      <c r="Q51" s="167" t="s">
        <v>18</v>
      </c>
      <c r="R51" s="168"/>
      <c r="S51" s="38"/>
      <c r="T51" s="175">
        <f t="shared" si="7"/>
        <v>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0</v>
      </c>
      <c r="C55" s="178"/>
      <c r="D55" s="34"/>
      <c r="E55" s="35">
        <f>B55+D55</f>
        <v>0</v>
      </c>
      <c r="F55" s="177">
        <f>$E$19</f>
        <v>0</v>
      </c>
      <c r="G55" s="178"/>
      <c r="H55" s="34"/>
      <c r="I55" s="175">
        <f>F55+H55</f>
        <v>0</v>
      </c>
      <c r="J55" s="176"/>
      <c r="M55" s="179">
        <f>$E$18</f>
        <v>0</v>
      </c>
      <c r="N55" s="180"/>
      <c r="O55" s="36"/>
      <c r="P55" s="37">
        <f>M55+O55</f>
        <v>0</v>
      </c>
      <c r="Q55" s="179">
        <f>$E$19</f>
        <v>0</v>
      </c>
      <c r="R55" s="180"/>
      <c r="S55" s="36"/>
      <c r="T55" s="181">
        <f>Q55+S55</f>
        <v>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0</v>
      </c>
      <c r="F57" s="167" t="s">
        <v>16</v>
      </c>
      <c r="G57" s="168"/>
      <c r="H57" s="34"/>
      <c r="I57" s="175">
        <f t="shared" ref="I57:I64" si="9">$E$21+H57</f>
        <v>0</v>
      </c>
      <c r="J57" s="176"/>
      <c r="M57" s="166" t="s">
        <v>17</v>
      </c>
      <c r="N57" s="166"/>
      <c r="O57" s="39"/>
      <c r="P57" s="40">
        <f t="shared" ref="P57:P64" si="10">$E$20+O57</f>
        <v>0</v>
      </c>
      <c r="Q57" s="167" t="s">
        <v>17</v>
      </c>
      <c r="R57" s="168"/>
      <c r="S57" s="34"/>
      <c r="T57" s="175">
        <f t="shared" ref="T57:T64" si="11">$E$21+S57</f>
        <v>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0</v>
      </c>
      <c r="F58" s="167" t="s">
        <v>18</v>
      </c>
      <c r="G58" s="168"/>
      <c r="H58" s="38"/>
      <c r="I58" s="175">
        <f t="shared" si="9"/>
        <v>0</v>
      </c>
      <c r="J58" s="176"/>
      <c r="M58" s="166" t="s">
        <v>18</v>
      </c>
      <c r="N58" s="166"/>
      <c r="O58" s="41"/>
      <c r="P58" s="40">
        <f t="shared" si="10"/>
        <v>0</v>
      </c>
      <c r="Q58" s="167" t="s">
        <v>18</v>
      </c>
      <c r="R58" s="168"/>
      <c r="S58" s="38"/>
      <c r="T58" s="175">
        <f t="shared" si="11"/>
        <v>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0</v>
      </c>
      <c r="F59" s="167" t="s">
        <v>18</v>
      </c>
      <c r="G59" s="168"/>
      <c r="H59" s="38"/>
      <c r="I59" s="175">
        <f t="shared" si="9"/>
        <v>0</v>
      </c>
      <c r="J59" s="176"/>
      <c r="M59" s="166" t="s">
        <v>18</v>
      </c>
      <c r="N59" s="166"/>
      <c r="O59" s="41"/>
      <c r="P59" s="40">
        <f t="shared" si="10"/>
        <v>0</v>
      </c>
      <c r="Q59" s="167" t="s">
        <v>18</v>
      </c>
      <c r="R59" s="168"/>
      <c r="S59" s="38"/>
      <c r="T59" s="175">
        <f t="shared" si="11"/>
        <v>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0</v>
      </c>
      <c r="F60" s="167" t="s">
        <v>18</v>
      </c>
      <c r="G60" s="168"/>
      <c r="H60" s="38"/>
      <c r="I60" s="175">
        <f t="shared" si="9"/>
        <v>0</v>
      </c>
      <c r="J60" s="176"/>
      <c r="M60" s="166" t="s">
        <v>19</v>
      </c>
      <c r="N60" s="166"/>
      <c r="O60" s="41"/>
      <c r="P60" s="40">
        <f t="shared" si="10"/>
        <v>0</v>
      </c>
      <c r="Q60" s="167" t="s">
        <v>18</v>
      </c>
      <c r="R60" s="168"/>
      <c r="S60" s="38"/>
      <c r="T60" s="175">
        <f t="shared" si="11"/>
        <v>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0</v>
      </c>
      <c r="F61" s="167" t="s">
        <v>18</v>
      </c>
      <c r="G61" s="168"/>
      <c r="H61" s="38"/>
      <c r="I61" s="175">
        <f t="shared" si="9"/>
        <v>0</v>
      </c>
      <c r="J61" s="176"/>
      <c r="M61" s="166" t="s">
        <v>18</v>
      </c>
      <c r="N61" s="166"/>
      <c r="O61" s="41"/>
      <c r="P61" s="40">
        <f t="shared" si="10"/>
        <v>0</v>
      </c>
      <c r="Q61" s="167" t="s">
        <v>18</v>
      </c>
      <c r="R61" s="168"/>
      <c r="S61" s="38"/>
      <c r="T61" s="175">
        <f t="shared" si="11"/>
        <v>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0</v>
      </c>
      <c r="F62" s="167" t="s">
        <v>18</v>
      </c>
      <c r="G62" s="168"/>
      <c r="H62" s="38"/>
      <c r="I62" s="175">
        <f t="shared" si="9"/>
        <v>0</v>
      </c>
      <c r="J62" s="176"/>
      <c r="M62" s="166" t="s">
        <v>18</v>
      </c>
      <c r="N62" s="166"/>
      <c r="O62" s="41"/>
      <c r="P62" s="40">
        <f t="shared" si="10"/>
        <v>0</v>
      </c>
      <c r="Q62" s="167" t="s">
        <v>18</v>
      </c>
      <c r="R62" s="168"/>
      <c r="S62" s="38"/>
      <c r="T62" s="175">
        <f t="shared" si="11"/>
        <v>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0</v>
      </c>
      <c r="F63" s="167" t="s">
        <v>18</v>
      </c>
      <c r="G63" s="168"/>
      <c r="H63" s="38"/>
      <c r="I63" s="175">
        <f t="shared" si="9"/>
        <v>0</v>
      </c>
      <c r="J63" s="176"/>
      <c r="M63" s="166" t="s">
        <v>18</v>
      </c>
      <c r="N63" s="166"/>
      <c r="O63" s="41"/>
      <c r="P63" s="40">
        <f t="shared" si="10"/>
        <v>0</v>
      </c>
      <c r="Q63" s="167" t="s">
        <v>18</v>
      </c>
      <c r="R63" s="168"/>
      <c r="S63" s="38"/>
      <c r="T63" s="175">
        <f t="shared" si="11"/>
        <v>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0</v>
      </c>
      <c r="F64" s="167" t="s">
        <v>18</v>
      </c>
      <c r="G64" s="168"/>
      <c r="H64" s="38"/>
      <c r="I64" s="175">
        <f t="shared" si="9"/>
        <v>0</v>
      </c>
      <c r="J64" s="176"/>
      <c r="M64" s="166" t="s">
        <v>18</v>
      </c>
      <c r="N64" s="166"/>
      <c r="O64" s="41"/>
      <c r="P64" s="40">
        <f t="shared" si="10"/>
        <v>0</v>
      </c>
      <c r="Q64" s="167" t="s">
        <v>18</v>
      </c>
      <c r="R64" s="168"/>
      <c r="S64" s="38"/>
      <c r="T64" s="175">
        <f t="shared" si="11"/>
        <v>0</v>
      </c>
      <c r="U64" s="176"/>
    </row>
  </sheetData>
  <mergeCells count="213">
    <mergeCell ref="T64:U64"/>
    <mergeCell ref="B64:C64"/>
    <mergeCell ref="F64:G64"/>
    <mergeCell ref="I64:J64"/>
    <mergeCell ref="M64:N64"/>
    <mergeCell ref="Q64:R64"/>
    <mergeCell ref="T62:U62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0:U60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58:U58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5:U55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1:U51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49:U49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7:U47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5:U45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2:U42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B40:J40"/>
    <mergeCell ref="M40:U40"/>
    <mergeCell ref="B41:C41"/>
    <mergeCell ref="F41:G41"/>
    <mergeCell ref="I41:J41"/>
    <mergeCell ref="M41:N41"/>
    <mergeCell ref="Q41:R41"/>
    <mergeCell ref="T41:U41"/>
    <mergeCell ref="B21:D21"/>
    <mergeCell ref="E21:F21"/>
    <mergeCell ref="G21:I21"/>
    <mergeCell ref="B22:D22"/>
    <mergeCell ref="E22:F22"/>
    <mergeCell ref="G22:I22"/>
    <mergeCell ref="B27:J27"/>
    <mergeCell ref="M27:U27"/>
    <mergeCell ref="T28:U28"/>
    <mergeCell ref="B29:C29"/>
    <mergeCell ref="F29:G29"/>
    <mergeCell ref="I29:J29"/>
    <mergeCell ref="M29:N29"/>
    <mergeCell ref="Q29:R29"/>
    <mergeCell ref="T29:U29"/>
    <mergeCell ref="B28:C28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E19:F19"/>
    <mergeCell ref="G19:I19"/>
    <mergeCell ref="B20:D20"/>
    <mergeCell ref="E20:F20"/>
    <mergeCell ref="G20:I20"/>
    <mergeCell ref="F28:G28"/>
    <mergeCell ref="I28:J28"/>
    <mergeCell ref="M28:N28"/>
    <mergeCell ref="Q28:R28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2:C32"/>
    <mergeCell ref="F32:G32"/>
    <mergeCell ref="I32:J32"/>
    <mergeCell ref="M32:N32"/>
    <mergeCell ref="Q32:R32"/>
    <mergeCell ref="T34:U34"/>
    <mergeCell ref="B33:C33"/>
    <mergeCell ref="F33:G33"/>
    <mergeCell ref="I33:J33"/>
    <mergeCell ref="M33:N33"/>
    <mergeCell ref="Q33:R33"/>
    <mergeCell ref="T33:U33"/>
    <mergeCell ref="B34:C34"/>
    <mergeCell ref="F34:G34"/>
    <mergeCell ref="I34:J34"/>
    <mergeCell ref="M34:N34"/>
    <mergeCell ref="Q34:R34"/>
    <mergeCell ref="T36:U36"/>
    <mergeCell ref="B35:C35"/>
    <mergeCell ref="F35:G35"/>
    <mergeCell ref="I35:J35"/>
    <mergeCell ref="M35:N35"/>
    <mergeCell ref="Q35:R35"/>
    <mergeCell ref="T35:U35"/>
    <mergeCell ref="B36:C36"/>
    <mergeCell ref="F36:G36"/>
    <mergeCell ref="I36:J36"/>
    <mergeCell ref="M36:N36"/>
    <mergeCell ref="Q36:R36"/>
    <mergeCell ref="T38:U38"/>
    <mergeCell ref="B37:C37"/>
    <mergeCell ref="F37:G37"/>
    <mergeCell ref="I37:J37"/>
    <mergeCell ref="M37:N37"/>
    <mergeCell ref="Q37:R37"/>
    <mergeCell ref="T37:U37"/>
    <mergeCell ref="B38:C38"/>
    <mergeCell ref="F38:G38"/>
    <mergeCell ref="I38:J38"/>
    <mergeCell ref="M38:N38"/>
    <mergeCell ref="Q38:R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D722-CD0E-4D72-9D68-574BA942CA4B}">
  <sheetPr>
    <tabColor rgb="FFFF0000"/>
  </sheetPr>
  <dimension ref="A1:CD51"/>
  <sheetViews>
    <sheetView workbookViewId="0">
      <pane ySplit="2" topLeftCell="A3" activePane="bottomLeft" state="frozen"/>
      <selection pane="bottomLeft" activeCell="J2" sqref="J2"/>
    </sheetView>
  </sheetViews>
  <sheetFormatPr defaultRowHeight="15" x14ac:dyDescent="0.25"/>
  <cols>
    <col min="1" max="1" width="13.7109375" style="4" customWidth="1"/>
    <col min="2" max="2" width="13.5703125" style="21" customWidth="1"/>
    <col min="3" max="3" width="21.5703125" style="4" customWidth="1"/>
    <col min="4" max="4" width="17" style="4" customWidth="1"/>
    <col min="5" max="5" width="11.85546875" style="4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82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BU1" s="4"/>
      <c r="BV1" s="4"/>
      <c r="BW1" s="4"/>
      <c r="BX1" s="4"/>
      <c r="BY1" s="4"/>
      <c r="BZ1" s="4"/>
      <c r="CA1" s="4"/>
      <c r="CB1" s="4"/>
      <c r="CC1" s="4"/>
      <c r="CD1" s="4"/>
    </row>
    <row r="2" spans="1:82" s="20" customFormat="1" ht="39" customHeight="1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44</v>
      </c>
      <c r="N2" s="70" t="s">
        <v>45</v>
      </c>
      <c r="O2" s="71" t="s">
        <v>46</v>
      </c>
      <c r="P2" s="71" t="s">
        <v>47</v>
      </c>
      <c r="Q2" s="71" t="s">
        <v>48</v>
      </c>
      <c r="R2" s="71" t="s">
        <v>49</v>
      </c>
      <c r="S2" s="72" t="s">
        <v>50</v>
      </c>
      <c r="T2" s="70" t="s">
        <v>44</v>
      </c>
      <c r="U2" s="70" t="s">
        <v>45</v>
      </c>
      <c r="V2" s="73" t="s">
        <v>51</v>
      </c>
      <c r="W2" s="73" t="s">
        <v>52</v>
      </c>
      <c r="X2" s="73" t="s">
        <v>53</v>
      </c>
      <c r="Y2" s="73" t="s">
        <v>54</v>
      </c>
      <c r="Z2" s="158" t="s">
        <v>50</v>
      </c>
      <c r="AA2" s="70" t="s">
        <v>44</v>
      </c>
      <c r="AB2" s="70" t="s">
        <v>45</v>
      </c>
      <c r="AC2" s="159" t="s">
        <v>55</v>
      </c>
      <c r="AD2" s="159" t="s">
        <v>56</v>
      </c>
      <c r="AE2" s="159" t="s">
        <v>57</v>
      </c>
      <c r="AF2" s="159" t="s">
        <v>58</v>
      </c>
      <c r="AG2" s="160" t="s">
        <v>50</v>
      </c>
      <c r="AH2" s="70" t="s">
        <v>44</v>
      </c>
      <c r="AI2" s="70" t="s">
        <v>45</v>
      </c>
      <c r="AJ2" s="161" t="s">
        <v>59</v>
      </c>
      <c r="AK2" s="161" t="s">
        <v>60</v>
      </c>
      <c r="AL2" s="161" t="s">
        <v>61</v>
      </c>
      <c r="AM2" s="161" t="s">
        <v>62</v>
      </c>
      <c r="AN2" s="162" t="s">
        <v>50</v>
      </c>
      <c r="AO2" s="70" t="s">
        <v>44</v>
      </c>
      <c r="AP2" s="70" t="s">
        <v>45</v>
      </c>
      <c r="AQ2" s="163" t="s">
        <v>63</v>
      </c>
      <c r="AR2" s="163" t="s">
        <v>64</v>
      </c>
      <c r="AS2" s="163" t="s">
        <v>65</v>
      </c>
      <c r="AT2" s="163" t="s">
        <v>66</v>
      </c>
      <c r="AU2" s="162" t="s">
        <v>50</v>
      </c>
      <c r="AV2" s="70" t="s">
        <v>44</v>
      </c>
      <c r="AW2" s="70" t="s">
        <v>45</v>
      </c>
      <c r="AX2" s="164" t="s">
        <v>67</v>
      </c>
      <c r="AY2" s="164" t="s">
        <v>68</v>
      </c>
      <c r="AZ2" s="164" t="s">
        <v>69</v>
      </c>
      <c r="BA2" s="164" t="s">
        <v>70</v>
      </c>
      <c r="BB2" s="162" t="s">
        <v>50</v>
      </c>
      <c r="BC2" s="70" t="s">
        <v>44</v>
      </c>
      <c r="BD2" s="70" t="s">
        <v>45</v>
      </c>
      <c r="BE2" s="164" t="s">
        <v>71</v>
      </c>
      <c r="BF2" s="164" t="s">
        <v>72</v>
      </c>
      <c r="BG2" s="164" t="s">
        <v>73</v>
      </c>
      <c r="BH2" s="164" t="s">
        <v>74</v>
      </c>
      <c r="BI2" s="162" t="s">
        <v>50</v>
      </c>
      <c r="BJ2" s="70" t="s">
        <v>44</v>
      </c>
      <c r="BK2" s="70" t="s">
        <v>45</v>
      </c>
      <c r="BL2" s="164" t="s">
        <v>75</v>
      </c>
      <c r="BM2" s="164" t="s">
        <v>76</v>
      </c>
      <c r="BN2" s="164" t="s">
        <v>77</v>
      </c>
      <c r="BO2" s="164" t="s">
        <v>78</v>
      </c>
      <c r="BP2" s="162" t="s">
        <v>50</v>
      </c>
      <c r="BQ2" s="70" t="s">
        <v>44</v>
      </c>
      <c r="BR2" s="70" t="s">
        <v>45</v>
      </c>
      <c r="BS2" s="164" t="s">
        <v>79</v>
      </c>
      <c r="BT2" s="164" t="s">
        <v>80</v>
      </c>
      <c r="BU2" s="164" t="s">
        <v>81</v>
      </c>
      <c r="BV2" s="164" t="s">
        <v>82</v>
      </c>
      <c r="BW2" s="162" t="s">
        <v>50</v>
      </c>
      <c r="BX2" s="70" t="s">
        <v>44</v>
      </c>
      <c r="BY2" s="70" t="s">
        <v>45</v>
      </c>
      <c r="BZ2" s="164" t="s">
        <v>83</v>
      </c>
      <c r="CA2" s="164" t="s">
        <v>84</v>
      </c>
      <c r="CB2" s="164" t="s">
        <v>85</v>
      </c>
      <c r="CC2" s="164" t="s">
        <v>86</v>
      </c>
      <c r="CD2" s="162" t="s">
        <v>50</v>
      </c>
    </row>
    <row r="3" spans="1:82" s="4" customFormat="1" x14ac:dyDescent="0.25"/>
    <row r="4" spans="1:82" s="4" customFormat="1" x14ac:dyDescent="0.25"/>
    <row r="5" spans="1:82" s="4" customFormat="1" x14ac:dyDescent="0.25"/>
    <row r="6" spans="1:82" s="4" customFormat="1" x14ac:dyDescent="0.25"/>
    <row r="7" spans="1:82" s="4" customFormat="1" x14ac:dyDescent="0.25"/>
    <row r="8" spans="1:82" s="4" customFormat="1" x14ac:dyDescent="0.25"/>
    <row r="9" spans="1:82" s="4" customFormat="1" x14ac:dyDescent="0.25"/>
    <row r="10" spans="1:82" s="4" customFormat="1" x14ac:dyDescent="0.25"/>
    <row r="11" spans="1:82" s="4" customFormat="1" x14ac:dyDescent="0.25"/>
    <row r="12" spans="1:82" s="4" customFormat="1" x14ac:dyDescent="0.25"/>
    <row r="13" spans="1:82" s="4" customFormat="1" x14ac:dyDescent="0.25"/>
    <row r="14" spans="1:82" s="4" customFormat="1" x14ac:dyDescent="0.25"/>
    <row r="15" spans="1:82" s="4" customFormat="1" x14ac:dyDescent="0.25"/>
    <row r="16" spans="1:82" s="4" customFormat="1" x14ac:dyDescent="0.25"/>
    <row r="17" spans="1:82" s="4" customFormat="1" x14ac:dyDescent="0.25"/>
    <row r="18" spans="1:82" x14ac:dyDescent="0.25">
      <c r="A18" s="165"/>
      <c r="B18" s="11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11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</row>
    <row r="19" spans="1:82" x14ac:dyDescent="0.25">
      <c r="A19" s="62"/>
      <c r="X19" s="21"/>
      <c r="BU19" s="4"/>
      <c r="BV19" s="4"/>
      <c r="BW19" s="4"/>
      <c r="BX19" s="4"/>
      <c r="BY19" s="4"/>
      <c r="BZ19" s="4"/>
      <c r="CA19" s="4"/>
      <c r="CB19" s="4"/>
      <c r="CC19" s="4"/>
      <c r="CD19" s="4"/>
    </row>
    <row r="20" spans="1:82" x14ac:dyDescent="0.25">
      <c r="A20" s="62"/>
      <c r="X20" s="21"/>
      <c r="BU20" s="4"/>
      <c r="BV20" s="4"/>
      <c r="BW20" s="4"/>
      <c r="BX20" s="4"/>
      <c r="BY20" s="4"/>
      <c r="BZ20" s="4"/>
      <c r="CA20" s="4"/>
      <c r="CB20" s="4"/>
      <c r="CC20" s="4"/>
      <c r="CD20" s="4"/>
    </row>
    <row r="21" spans="1:82" x14ac:dyDescent="0.25">
      <c r="A21" s="62"/>
      <c r="X21" s="21"/>
      <c r="BU21" s="4"/>
      <c r="BV21" s="4"/>
      <c r="BW21" s="4"/>
      <c r="BX21" s="4"/>
      <c r="BY21" s="4"/>
      <c r="BZ21" s="4"/>
      <c r="CA21" s="4"/>
      <c r="CB21" s="4"/>
      <c r="CC21" s="4"/>
      <c r="CD21" s="4"/>
    </row>
    <row r="22" spans="1:82" x14ac:dyDescent="0.25">
      <c r="A22" s="62"/>
      <c r="X22" s="21"/>
      <c r="BU22" s="4"/>
      <c r="BV22" s="4"/>
      <c r="BW22" s="4"/>
      <c r="BX22" s="4"/>
      <c r="BY22" s="4"/>
      <c r="BZ22" s="4"/>
      <c r="CA22" s="4"/>
      <c r="CB22" s="4"/>
      <c r="CC22" s="4"/>
      <c r="CD22" s="4"/>
    </row>
    <row r="23" spans="1:82" x14ac:dyDescent="0.25">
      <c r="A23" s="62"/>
      <c r="X23" s="21"/>
      <c r="BU23" s="4"/>
      <c r="BV23" s="4"/>
      <c r="BW23" s="4"/>
      <c r="BX23" s="4"/>
      <c r="BY23" s="4"/>
      <c r="BZ23" s="4"/>
      <c r="CA23" s="4"/>
      <c r="CB23" s="4"/>
      <c r="CC23" s="4"/>
      <c r="CD23" s="4"/>
    </row>
    <row r="24" spans="1:82" x14ac:dyDescent="0.25">
      <c r="A24" s="62"/>
      <c r="X24" s="21"/>
      <c r="BU24" s="4"/>
      <c r="BV24" s="4"/>
      <c r="BW24" s="4"/>
      <c r="BX24" s="4"/>
      <c r="BY24" s="4"/>
      <c r="BZ24" s="4"/>
      <c r="CA24" s="4"/>
      <c r="CB24" s="4"/>
      <c r="CC24" s="4"/>
      <c r="CD24" s="4"/>
    </row>
    <row r="25" spans="1:82" x14ac:dyDescent="0.25">
      <c r="A25" s="62"/>
      <c r="X25" s="21"/>
      <c r="BU25" s="4"/>
      <c r="BV25" s="4"/>
      <c r="BW25" s="4"/>
      <c r="BX25" s="4"/>
      <c r="BY25" s="4"/>
      <c r="BZ25" s="4"/>
      <c r="CA25" s="4"/>
      <c r="CB25" s="4"/>
      <c r="CC25" s="4"/>
      <c r="CD25" s="4"/>
    </row>
    <row r="26" spans="1:82" x14ac:dyDescent="0.25">
      <c r="A26" s="62"/>
      <c r="X26" s="21"/>
      <c r="BU26" s="4"/>
      <c r="BV26" s="4"/>
      <c r="BW26" s="4"/>
      <c r="BX26" s="4"/>
      <c r="BY26" s="4"/>
      <c r="BZ26" s="4"/>
      <c r="CA26" s="4"/>
      <c r="CB26" s="4"/>
      <c r="CC26" s="4"/>
      <c r="CD26" s="4"/>
    </row>
    <row r="27" spans="1:82" x14ac:dyDescent="0.25">
      <c r="A27" s="62"/>
      <c r="X27" s="21"/>
      <c r="BU27" s="4"/>
      <c r="BV27" s="4"/>
      <c r="BW27" s="4"/>
      <c r="BX27" s="4"/>
      <c r="BY27" s="4"/>
      <c r="BZ27" s="4"/>
      <c r="CA27" s="4"/>
      <c r="CB27" s="4"/>
      <c r="CC27" s="4"/>
      <c r="CD27" s="4"/>
    </row>
    <row r="28" spans="1:82" x14ac:dyDescent="0.25">
      <c r="A28" s="62"/>
      <c r="X28" s="21"/>
      <c r="BU28" s="4"/>
      <c r="BV28" s="4"/>
      <c r="BW28" s="4"/>
      <c r="BX28" s="4"/>
      <c r="BY28" s="4"/>
      <c r="BZ28" s="4"/>
      <c r="CA28" s="4"/>
      <c r="CB28" s="4"/>
      <c r="CC28" s="4"/>
      <c r="CD28" s="4"/>
    </row>
    <row r="29" spans="1:82" x14ac:dyDescent="0.25">
      <c r="A29" s="62"/>
      <c r="X29" s="21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spans="1:82" x14ac:dyDescent="0.25">
      <c r="A30" s="62"/>
      <c r="X30" s="21"/>
      <c r="BU30" s="4"/>
      <c r="BV30" s="4"/>
      <c r="BW30" s="4"/>
      <c r="BX30" s="4"/>
      <c r="BY30" s="4"/>
      <c r="BZ30" s="4"/>
      <c r="CA30" s="4"/>
      <c r="CB30" s="4"/>
      <c r="CC30" s="4"/>
      <c r="CD30" s="4"/>
    </row>
    <row r="31" spans="1:82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2"/>
      <c r="X31" s="85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84"/>
      <c r="BV31" s="84"/>
      <c r="BW31" s="84"/>
      <c r="BX31" s="84"/>
      <c r="BY31" s="84"/>
      <c r="BZ31" s="84"/>
      <c r="CA31" s="84"/>
      <c r="CB31" s="84"/>
      <c r="CC31" s="84"/>
      <c r="CD31" s="84"/>
    </row>
    <row r="32" spans="1:82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60"/>
      <c r="X32" s="87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86"/>
      <c r="BV32" s="86"/>
      <c r="BW32" s="86"/>
      <c r="BX32" s="86"/>
      <c r="BY32" s="86"/>
      <c r="BZ32" s="86"/>
      <c r="CA32" s="86"/>
      <c r="CB32" s="86"/>
      <c r="CC32" s="86"/>
      <c r="CD32" s="86"/>
    </row>
    <row r="33" spans="1:82" x14ac:dyDescent="0.25">
      <c r="A33" s="62"/>
      <c r="X33" s="21"/>
      <c r="BU33" s="4"/>
      <c r="BV33" s="4"/>
      <c r="BW33" s="4"/>
      <c r="BX33" s="4"/>
      <c r="BY33" s="4"/>
      <c r="BZ33" s="4"/>
      <c r="CA33" s="4"/>
      <c r="CB33" s="4"/>
      <c r="CC33" s="4"/>
      <c r="CD33" s="4"/>
    </row>
    <row r="34" spans="1:82" x14ac:dyDescent="0.25">
      <c r="A34" s="62"/>
      <c r="X34" s="21"/>
      <c r="BU34" s="4"/>
      <c r="BV34" s="4"/>
      <c r="BW34" s="4"/>
      <c r="BX34" s="4"/>
      <c r="BY34" s="4"/>
      <c r="BZ34" s="4"/>
      <c r="CA34" s="4"/>
      <c r="CB34" s="4"/>
      <c r="CC34" s="4"/>
      <c r="CD34" s="4"/>
    </row>
    <row r="35" spans="1:82" x14ac:dyDescent="0.25">
      <c r="A35" s="62"/>
      <c r="X35" s="21"/>
      <c r="BU35" s="4"/>
      <c r="BV35" s="4"/>
      <c r="BW35" s="4"/>
      <c r="BX35" s="4"/>
      <c r="BY35" s="4"/>
      <c r="BZ35" s="4"/>
      <c r="CA35" s="4"/>
      <c r="CB35" s="4"/>
      <c r="CC35" s="4"/>
      <c r="CD35" s="4"/>
    </row>
    <row r="36" spans="1:82" x14ac:dyDescent="0.25">
      <c r="A36" s="62"/>
      <c r="X36" s="21"/>
      <c r="BU36" s="4"/>
      <c r="BV36" s="4"/>
      <c r="BW36" s="4"/>
      <c r="BX36" s="4"/>
      <c r="BY36" s="4"/>
      <c r="BZ36" s="4"/>
      <c r="CA36" s="4"/>
      <c r="CB36" s="4"/>
      <c r="CC36" s="4"/>
      <c r="CD36" s="4"/>
    </row>
    <row r="37" spans="1:82" x14ac:dyDescent="0.25">
      <c r="A37" s="62"/>
      <c r="X37" s="21"/>
      <c r="BU37" s="4"/>
      <c r="BV37" s="4"/>
      <c r="BW37" s="4"/>
      <c r="BX37" s="4"/>
      <c r="BY37" s="4"/>
      <c r="BZ37" s="4"/>
      <c r="CA37" s="4"/>
      <c r="CB37" s="4"/>
      <c r="CC37" s="4"/>
      <c r="CD37" s="4"/>
    </row>
    <row r="38" spans="1:82" x14ac:dyDescent="0.25">
      <c r="A38" s="62"/>
      <c r="X38" s="21"/>
      <c r="BU38" s="4"/>
      <c r="BV38" s="4"/>
      <c r="BW38" s="4"/>
      <c r="BX38" s="4"/>
      <c r="BY38" s="4"/>
      <c r="BZ38" s="4"/>
      <c r="CA38" s="4"/>
      <c r="CB38" s="4"/>
      <c r="CC38" s="4"/>
      <c r="CD38" s="4"/>
    </row>
    <row r="39" spans="1:82" x14ac:dyDescent="0.25">
      <c r="A39" s="62"/>
      <c r="X39" s="21"/>
      <c r="BU39" s="4"/>
      <c r="BV39" s="4"/>
      <c r="BW39" s="4"/>
      <c r="BX39" s="4"/>
      <c r="BY39" s="4"/>
      <c r="BZ39" s="4"/>
      <c r="CA39" s="4"/>
      <c r="CB39" s="4"/>
      <c r="CC39" s="4"/>
      <c r="CD39" s="4"/>
    </row>
    <row r="40" spans="1:82" x14ac:dyDescent="0.25">
      <c r="A40" s="62"/>
      <c r="X40" s="21"/>
      <c r="BU40" s="4"/>
      <c r="BV40" s="4"/>
      <c r="BW40" s="4"/>
      <c r="BX40" s="4"/>
      <c r="BY40" s="4"/>
      <c r="BZ40" s="4"/>
      <c r="CA40" s="4"/>
      <c r="CB40" s="4"/>
      <c r="CC40" s="4"/>
      <c r="CD40" s="4"/>
    </row>
    <row r="41" spans="1:82" x14ac:dyDescent="0.25">
      <c r="A41" s="62"/>
      <c r="X41" s="21"/>
      <c r="BU41" s="4"/>
      <c r="BV41" s="4"/>
      <c r="BW41" s="4"/>
      <c r="BX41" s="4"/>
      <c r="BY41" s="4"/>
      <c r="BZ41" s="4"/>
      <c r="CA41" s="4"/>
      <c r="CB41" s="4"/>
      <c r="CC41" s="4"/>
      <c r="CD41" s="4"/>
    </row>
    <row r="42" spans="1:82" x14ac:dyDescent="0.25">
      <c r="A42" s="62"/>
      <c r="X42" s="21"/>
      <c r="BU42" s="4"/>
      <c r="BV42" s="4"/>
      <c r="BW42" s="4"/>
      <c r="BX42" s="4"/>
      <c r="BY42" s="4"/>
      <c r="BZ42" s="4"/>
      <c r="CA42" s="4"/>
      <c r="CB42" s="4"/>
      <c r="CC42" s="4"/>
      <c r="CD42" s="4"/>
    </row>
    <row r="43" spans="1:82" x14ac:dyDescent="0.25">
      <c r="A43" s="62"/>
      <c r="X43" s="21"/>
      <c r="BU43" s="4"/>
      <c r="BV43" s="4"/>
      <c r="BW43" s="4"/>
      <c r="BX43" s="4"/>
      <c r="BY43" s="4"/>
      <c r="BZ43" s="4"/>
      <c r="CA43" s="4"/>
      <c r="CB43" s="4"/>
      <c r="CC43" s="4"/>
      <c r="CD43" s="4"/>
    </row>
    <row r="44" spans="1:82" x14ac:dyDescent="0.25">
      <c r="A44" s="62"/>
      <c r="X44" s="21"/>
      <c r="BU44" s="4"/>
      <c r="BV44" s="4"/>
      <c r="BW44" s="4"/>
      <c r="BX44" s="4"/>
      <c r="BY44" s="4"/>
      <c r="BZ44" s="4"/>
      <c r="CA44" s="4"/>
      <c r="CB44" s="4"/>
      <c r="CC44" s="4"/>
      <c r="CD44" s="4"/>
    </row>
    <row r="45" spans="1:82" x14ac:dyDescent="0.25">
      <c r="A45" s="62"/>
      <c r="X45" s="21"/>
      <c r="BU45" s="4"/>
      <c r="BV45" s="4"/>
      <c r="BW45" s="4"/>
      <c r="BX45" s="4"/>
      <c r="BY45" s="4"/>
      <c r="BZ45" s="4"/>
      <c r="CA45" s="4"/>
      <c r="CB45" s="4"/>
      <c r="CC45" s="4"/>
      <c r="CD45" s="4"/>
    </row>
    <row r="46" spans="1:8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BU46" s="4"/>
      <c r="BV46" s="4"/>
      <c r="BW46" s="4"/>
      <c r="BX46" s="4"/>
      <c r="BY46" s="4"/>
      <c r="BZ46" s="4"/>
      <c r="CA46" s="4"/>
      <c r="CB46" s="4"/>
      <c r="CC46" s="4"/>
      <c r="CD46" s="4"/>
    </row>
    <row r="47" spans="1:82" x14ac:dyDescent="0.25">
      <c r="A47" s="62"/>
      <c r="BU47" s="4"/>
      <c r="BV47" s="4"/>
      <c r="BW47" s="4"/>
      <c r="BX47" s="4"/>
      <c r="BY47" s="4"/>
      <c r="BZ47" s="4"/>
      <c r="CA47" s="4"/>
      <c r="CB47" s="4"/>
      <c r="CC47" s="4"/>
      <c r="CD47" s="4"/>
    </row>
    <row r="48" spans="1:82" x14ac:dyDescent="0.25">
      <c r="A48" s="62"/>
      <c r="BU48" s="4"/>
      <c r="BV48" s="4"/>
      <c r="BW48" s="4"/>
      <c r="BX48" s="4"/>
      <c r="BY48" s="4"/>
      <c r="BZ48" s="4"/>
      <c r="CA48" s="4"/>
      <c r="CB48" s="4"/>
      <c r="CC48" s="4"/>
      <c r="CD48" s="4"/>
    </row>
    <row r="49" spans="1:82" x14ac:dyDescent="0.25">
      <c r="A49" s="62"/>
      <c r="BU49" s="4"/>
      <c r="BV49" s="4"/>
      <c r="BW49" s="4"/>
      <c r="BX49" s="4"/>
      <c r="BY49" s="4"/>
      <c r="BZ49" s="4"/>
      <c r="CA49" s="4"/>
      <c r="CB49" s="4"/>
      <c r="CC49" s="4"/>
      <c r="CD49" s="4"/>
    </row>
    <row r="50" spans="1:82" x14ac:dyDescent="0.25">
      <c r="A50" s="62"/>
      <c r="BU50" s="4"/>
      <c r="BV50" s="4"/>
      <c r="BW50" s="4"/>
      <c r="BX50" s="4"/>
      <c r="BY50" s="4"/>
      <c r="BZ50" s="4"/>
      <c r="CA50" s="4"/>
      <c r="CB50" s="4"/>
      <c r="CC50" s="4"/>
      <c r="CD50" s="4"/>
    </row>
    <row r="51" spans="1:82" x14ac:dyDescent="0.25">
      <c r="A51" s="62"/>
      <c r="BU51" s="4"/>
      <c r="BV51" s="4"/>
      <c r="BW51" s="4"/>
      <c r="BX51" s="4"/>
      <c r="BY51" s="4"/>
      <c r="BZ51" s="4"/>
      <c r="CA51" s="4"/>
      <c r="CB51" s="4"/>
      <c r="CC51" s="4"/>
      <c r="CD51" s="4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G1:H1"/>
    <mergeCell ref="A1:E1"/>
  </mergeCells>
  <conditionalFormatting sqref="A18:A51">
    <cfRule type="containsText" dxfId="63" priority="1" operator="containsText" text="PEDRO">
      <formula>NOT(ISERROR(SEARCH("PEDRO",A18)))</formula>
    </cfRule>
    <cfRule type="containsText" dxfId="62" priority="2" operator="containsText" text="YGOR">
      <formula>NOT(ISERROR(SEARCH("YGOR",A18)))</formula>
    </cfRule>
    <cfRule type="containsText" dxfId="61" priority="3" operator="containsText" text="ALEXANDRE">
      <formula>NOT(ISERROR(SEARCH("ALEXANDRE",A18)))</formula>
    </cfRule>
    <cfRule type="containsText" dxfId="60" priority="4" operator="containsText" text="LILIAN">
      <formula>NOT(ISERROR(SEARCH("LILIAN",A18)))</formula>
    </cfRule>
  </conditionalFormatting>
  <conditionalFormatting sqref="J1:J2 J18:J1048576">
    <cfRule type="containsText" dxfId="59" priority="5" operator="containsText" text="ALFA TRANSPORTES">
      <formula>NOT(ISERROR(SEARCH("ALFA TRANSPORTES",J1)))</formula>
    </cfRule>
    <cfRule type="containsText" dxfId="58" priority="6" operator="containsText" text="NEW BIGTRANS">
      <formula>NOT(ISERROR(SEARCH("NEW BIGTRANS",J1)))</formula>
    </cfRule>
    <cfRule type="containsText" dxfId="57" priority="7" operator="containsText" text="EXPRESSO SAO MIGUEL">
      <formula>NOT(ISERROR(SEARCH("EXPRESSO SAO MIGUEL",J1)))</formula>
    </cfRule>
    <cfRule type="containsText" dxfId="56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18:A51" xr:uid="{5D3B75EC-D78E-48D1-970D-B6C12A8F7DB3}">
      <formula1>$BW$5:$BW$8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3786-3569-489C-A67C-BC2AA0C60062}">
  <sheetPr>
    <tabColor rgb="FFFF0000"/>
  </sheetPr>
  <dimension ref="A1:BX34"/>
  <sheetViews>
    <sheetView workbookViewId="0">
      <pane ySplit="2" topLeftCell="A22" activePane="bottomLeft" state="frozen"/>
      <selection pane="bottomLeft" activeCell="A30" sqref="A30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7" t="s">
        <v>42</v>
      </c>
      <c r="K2" s="7" t="s">
        <v>43</v>
      </c>
      <c r="L2" s="45" t="s">
        <v>45</v>
      </c>
      <c r="M2" s="9" t="s">
        <v>46</v>
      </c>
      <c r="N2" s="9" t="s">
        <v>47</v>
      </c>
      <c r="O2" s="9" t="s">
        <v>48</v>
      </c>
      <c r="P2" s="9" t="s">
        <v>49</v>
      </c>
      <c r="Q2" s="10" t="s">
        <v>50</v>
      </c>
      <c r="R2" s="45" t="s">
        <v>45</v>
      </c>
      <c r="S2" s="11" t="s">
        <v>51</v>
      </c>
      <c r="T2" s="11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51" customFormat="1" x14ac:dyDescent="0.25">
      <c r="A3" s="52"/>
      <c r="B3" s="52">
        <v>4107001004</v>
      </c>
      <c r="C3" s="53"/>
      <c r="D3" s="52">
        <v>78841</v>
      </c>
      <c r="E3" s="52" t="s">
        <v>90</v>
      </c>
      <c r="F3" s="52">
        <v>1</v>
      </c>
      <c r="G3" s="52">
        <v>52419</v>
      </c>
      <c r="H3" s="54" t="s">
        <v>91</v>
      </c>
      <c r="I3" s="52" t="s">
        <v>92</v>
      </c>
      <c r="J3" s="52"/>
      <c r="K3" s="52"/>
      <c r="L3" s="55">
        <v>0.375</v>
      </c>
      <c r="M3" s="56">
        <v>52</v>
      </c>
      <c r="N3" s="56">
        <v>39</v>
      </c>
      <c r="O3" s="56">
        <v>18</v>
      </c>
      <c r="P3" s="56">
        <v>18</v>
      </c>
      <c r="Q3" s="56" t="s">
        <v>93</v>
      </c>
      <c r="R3" s="55">
        <v>0.45833333333333331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</row>
    <row r="4" spans="1:76" s="51" customFormat="1" x14ac:dyDescent="0.25">
      <c r="A4" s="52"/>
      <c r="B4" s="52">
        <v>4693901001</v>
      </c>
      <c r="C4" s="53">
        <v>46143</v>
      </c>
      <c r="D4" s="52">
        <v>88258</v>
      </c>
      <c r="E4" s="52" t="s">
        <v>90</v>
      </c>
      <c r="F4" s="52" t="s">
        <v>94</v>
      </c>
      <c r="G4" s="52">
        <v>56918</v>
      </c>
      <c r="H4" s="54" t="s">
        <v>95</v>
      </c>
      <c r="I4" s="52" t="s">
        <v>96</v>
      </c>
      <c r="J4" s="52">
        <v>1</v>
      </c>
      <c r="K4" s="52">
        <v>10103</v>
      </c>
      <c r="L4" s="55">
        <v>0.41666666666666669</v>
      </c>
      <c r="M4" s="56">
        <v>18</v>
      </c>
      <c r="N4" s="56">
        <v>10</v>
      </c>
      <c r="O4" s="56">
        <v>10</v>
      </c>
      <c r="P4" s="56">
        <v>10</v>
      </c>
      <c r="Q4" s="56" t="s">
        <v>97</v>
      </c>
      <c r="R4" s="55">
        <v>0.47916666666666669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</row>
    <row r="5" spans="1:76" s="3" customFormat="1" x14ac:dyDescent="0.25">
      <c r="A5" s="57"/>
      <c r="B5" s="57"/>
      <c r="C5" s="58">
        <v>46143</v>
      </c>
      <c r="D5" s="57">
        <v>91173</v>
      </c>
      <c r="E5" s="57" t="s">
        <v>90</v>
      </c>
      <c r="F5" s="57" t="s">
        <v>94</v>
      </c>
      <c r="G5" s="57">
        <v>48989</v>
      </c>
      <c r="H5" s="59" t="s">
        <v>98</v>
      </c>
      <c r="I5" s="57" t="s">
        <v>99</v>
      </c>
      <c r="J5" s="57">
        <v>3</v>
      </c>
      <c r="K5" s="57">
        <v>10103</v>
      </c>
      <c r="L5" s="57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57"/>
      <c r="B6" s="57">
        <v>4688601002</v>
      </c>
      <c r="C6" s="58">
        <v>46143</v>
      </c>
      <c r="D6" s="57">
        <v>92369</v>
      </c>
      <c r="E6" s="57" t="s">
        <v>100</v>
      </c>
      <c r="F6" s="57" t="s">
        <v>101</v>
      </c>
      <c r="G6" s="57">
        <v>52497</v>
      </c>
      <c r="H6" s="59" t="s">
        <v>102</v>
      </c>
      <c r="I6" s="57" t="s">
        <v>103</v>
      </c>
      <c r="J6" s="57">
        <v>1</v>
      </c>
      <c r="K6" s="57">
        <v>10106</v>
      </c>
      <c r="L6" s="57"/>
      <c r="M6" s="5"/>
      <c r="N6" s="5"/>
      <c r="O6" s="5"/>
      <c r="P6" s="5"/>
      <c r="Q6" s="5"/>
    </row>
    <row r="7" spans="1:76" x14ac:dyDescent="0.25">
      <c r="A7" s="57"/>
      <c r="B7" s="57"/>
      <c r="C7" s="58">
        <v>46143</v>
      </c>
      <c r="D7" s="57">
        <v>92650</v>
      </c>
      <c r="E7" s="57" t="s">
        <v>104</v>
      </c>
      <c r="F7" s="57" t="s">
        <v>94</v>
      </c>
      <c r="G7" s="57">
        <v>56867</v>
      </c>
      <c r="H7" s="59" t="s">
        <v>105</v>
      </c>
      <c r="I7" s="57" t="s">
        <v>106</v>
      </c>
      <c r="J7" s="57">
        <v>1</v>
      </c>
      <c r="K7" s="57">
        <v>10106</v>
      </c>
      <c r="L7" s="57"/>
      <c r="M7" s="5"/>
      <c r="N7" s="5"/>
      <c r="O7" s="5"/>
      <c r="P7" s="5"/>
      <c r="Q7" s="5"/>
      <c r="U7" s="5"/>
      <c r="V7" s="5"/>
      <c r="W7" s="5"/>
    </row>
    <row r="8" spans="1:76" x14ac:dyDescent="0.25">
      <c r="A8" s="57"/>
      <c r="B8" s="57">
        <v>4693101001</v>
      </c>
      <c r="C8" s="58">
        <v>46143</v>
      </c>
      <c r="D8" s="57">
        <v>92943</v>
      </c>
      <c r="E8" s="57" t="s">
        <v>107</v>
      </c>
      <c r="F8" s="57" t="s">
        <v>108</v>
      </c>
      <c r="G8" s="57">
        <v>54998</v>
      </c>
      <c r="H8" s="59" t="s">
        <v>109</v>
      </c>
      <c r="I8" s="57" t="s">
        <v>103</v>
      </c>
      <c r="J8" s="57">
        <v>6</v>
      </c>
      <c r="K8" s="57">
        <v>10101</v>
      </c>
      <c r="L8" s="57"/>
      <c r="M8" s="5"/>
      <c r="N8" s="5"/>
      <c r="O8" s="5"/>
      <c r="P8" s="5"/>
      <c r="Q8" s="5"/>
      <c r="U8" s="5"/>
      <c r="V8" s="5"/>
      <c r="W8" s="5"/>
    </row>
    <row r="9" spans="1:76" x14ac:dyDescent="0.25">
      <c r="A9" s="57"/>
      <c r="B9" s="57"/>
      <c r="C9" s="58">
        <v>46143</v>
      </c>
      <c r="D9" s="57">
        <v>92943</v>
      </c>
      <c r="E9" s="57" t="s">
        <v>107</v>
      </c>
      <c r="F9" s="57" t="s">
        <v>110</v>
      </c>
      <c r="G9" s="57">
        <v>25045</v>
      </c>
      <c r="H9" s="59" t="s">
        <v>111</v>
      </c>
      <c r="I9" s="57" t="s">
        <v>103</v>
      </c>
      <c r="J9" s="57">
        <v>97</v>
      </c>
      <c r="K9" s="57">
        <v>10101</v>
      </c>
      <c r="L9" s="57"/>
      <c r="M9" s="6"/>
      <c r="N9" s="6"/>
      <c r="O9" s="6"/>
      <c r="P9" s="6"/>
      <c r="Q9" s="6"/>
      <c r="U9" s="6"/>
    </row>
    <row r="10" spans="1:76" x14ac:dyDescent="0.25">
      <c r="A10" s="57"/>
      <c r="B10" s="57"/>
      <c r="C10" s="58">
        <v>46143</v>
      </c>
      <c r="D10" s="57">
        <v>93351</v>
      </c>
      <c r="E10" s="57" t="s">
        <v>112</v>
      </c>
      <c r="F10" s="57" t="s">
        <v>110</v>
      </c>
      <c r="G10" s="57">
        <v>45270</v>
      </c>
      <c r="H10" s="59" t="s">
        <v>113</v>
      </c>
      <c r="I10" s="57" t="s">
        <v>103</v>
      </c>
      <c r="J10" s="57">
        <v>7</v>
      </c>
      <c r="K10" s="57">
        <v>10101</v>
      </c>
      <c r="L10" s="57"/>
    </row>
    <row r="11" spans="1:76" x14ac:dyDescent="0.25">
      <c r="C11" s="50">
        <v>46143</v>
      </c>
      <c r="D11" s="4">
        <v>93351</v>
      </c>
      <c r="E11" s="4" t="s">
        <v>112</v>
      </c>
      <c r="F11" s="4" t="s">
        <v>94</v>
      </c>
      <c r="G11" s="4">
        <v>48986</v>
      </c>
      <c r="H11" s="4" t="s">
        <v>114</v>
      </c>
      <c r="I11" s="4" t="s">
        <v>103</v>
      </c>
      <c r="J11" s="4">
        <v>13</v>
      </c>
      <c r="K11" s="4">
        <v>10101</v>
      </c>
    </row>
    <row r="12" spans="1:76" x14ac:dyDescent="0.25">
      <c r="C12" s="50">
        <v>46143</v>
      </c>
      <c r="D12" s="4">
        <v>93376</v>
      </c>
      <c r="E12" s="4" t="s">
        <v>115</v>
      </c>
      <c r="F12" s="4" t="s">
        <v>116</v>
      </c>
      <c r="G12" s="4">
        <v>54130</v>
      </c>
      <c r="H12" s="4" t="s">
        <v>117</v>
      </c>
      <c r="I12" s="4" t="s">
        <v>99</v>
      </c>
      <c r="J12" s="4">
        <v>1</v>
      </c>
      <c r="K12" s="4">
        <v>10105</v>
      </c>
    </row>
    <row r="13" spans="1:76" x14ac:dyDescent="0.25">
      <c r="C13" s="50">
        <v>46143</v>
      </c>
      <c r="D13" s="4">
        <v>93548</v>
      </c>
      <c r="E13" s="4" t="s">
        <v>118</v>
      </c>
      <c r="F13" s="4" t="s">
        <v>110</v>
      </c>
      <c r="G13" s="4">
        <v>38992</v>
      </c>
      <c r="H13" s="4" t="s">
        <v>119</v>
      </c>
      <c r="I13" s="4" t="s">
        <v>120</v>
      </c>
      <c r="J13" s="4">
        <v>1</v>
      </c>
      <c r="K13" s="4">
        <v>10104</v>
      </c>
    </row>
    <row r="14" spans="1:76" x14ac:dyDescent="0.25">
      <c r="C14" s="50">
        <v>46143</v>
      </c>
      <c r="D14" s="4">
        <v>93580</v>
      </c>
      <c r="E14" s="4" t="s">
        <v>121</v>
      </c>
      <c r="F14" s="4" t="s">
        <v>122</v>
      </c>
      <c r="G14" s="4">
        <v>54693</v>
      </c>
      <c r="H14" s="4" t="s">
        <v>123</v>
      </c>
      <c r="I14" s="4" t="s">
        <v>103</v>
      </c>
      <c r="J14" s="4">
        <v>1</v>
      </c>
      <c r="K14" s="4">
        <v>10107</v>
      </c>
    </row>
    <row r="15" spans="1:76" s="49" customFormat="1" x14ac:dyDescent="0.25">
      <c r="A15" s="46"/>
      <c r="B15" s="46"/>
      <c r="C15" s="47">
        <v>46143</v>
      </c>
      <c r="D15" s="46">
        <v>93639</v>
      </c>
      <c r="E15" s="46" t="s">
        <v>124</v>
      </c>
      <c r="F15" s="46" t="s">
        <v>125</v>
      </c>
      <c r="G15" s="46">
        <v>57706</v>
      </c>
      <c r="H15" s="46" t="s">
        <v>126</v>
      </c>
      <c r="I15" s="46" t="s">
        <v>127</v>
      </c>
      <c r="J15" s="46">
        <v>2</v>
      </c>
      <c r="K15" s="46">
        <v>10106</v>
      </c>
      <c r="L15" s="46"/>
      <c r="M15" s="46">
        <v>2</v>
      </c>
      <c r="N15" s="46">
        <v>2</v>
      </c>
      <c r="O15" s="46">
        <v>1</v>
      </c>
      <c r="P15" s="46">
        <v>5</v>
      </c>
      <c r="Q15" s="46"/>
      <c r="R15" s="46"/>
      <c r="S15" s="46">
        <f>T15</f>
        <v>3</v>
      </c>
      <c r="T15" s="46">
        <v>3</v>
      </c>
      <c r="U15" s="46">
        <v>3</v>
      </c>
      <c r="V15" s="46">
        <v>3</v>
      </c>
      <c r="W15" s="46"/>
      <c r="X15" s="46"/>
      <c r="Y15" s="46">
        <v>3</v>
      </c>
      <c r="Z15" s="46">
        <v>3</v>
      </c>
      <c r="AA15" s="46">
        <v>2</v>
      </c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x14ac:dyDescent="0.25">
      <c r="C16" s="50">
        <v>46143</v>
      </c>
      <c r="D16" s="4">
        <v>93889</v>
      </c>
      <c r="E16" s="4" t="s">
        <v>128</v>
      </c>
      <c r="F16" s="4" t="s">
        <v>94</v>
      </c>
      <c r="G16" s="4">
        <v>50430</v>
      </c>
      <c r="H16" s="4" t="s">
        <v>129</v>
      </c>
      <c r="I16" s="4" t="s">
        <v>103</v>
      </c>
      <c r="J16" s="4">
        <v>1</v>
      </c>
      <c r="K16" s="4">
        <v>10106</v>
      </c>
    </row>
    <row r="17" spans="1:76" s="49" customFormat="1" x14ac:dyDescent="0.25">
      <c r="A17" s="46"/>
      <c r="B17" s="46">
        <v>4695101003</v>
      </c>
      <c r="C17" s="47">
        <v>46143</v>
      </c>
      <c r="D17" s="46">
        <v>93982</v>
      </c>
      <c r="E17" s="46" t="s">
        <v>130</v>
      </c>
      <c r="F17" s="46" t="s">
        <v>94</v>
      </c>
      <c r="G17" s="46">
        <v>57604</v>
      </c>
      <c r="H17" s="46" t="s">
        <v>131</v>
      </c>
      <c r="I17" s="46" t="s">
        <v>103</v>
      </c>
      <c r="J17" s="46">
        <v>20</v>
      </c>
      <c r="K17" s="46">
        <v>10104</v>
      </c>
      <c r="L17" s="46"/>
      <c r="M17" s="46">
        <v>30</v>
      </c>
      <c r="N17" s="46">
        <v>30</v>
      </c>
      <c r="O17" s="46">
        <v>50</v>
      </c>
      <c r="P17" s="46">
        <v>43</v>
      </c>
      <c r="Q17" s="46"/>
      <c r="R17" s="48">
        <v>0.71250000000000002</v>
      </c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4702901010</v>
      </c>
      <c r="C18" s="47">
        <v>46143</v>
      </c>
      <c r="D18" s="46">
        <v>94001</v>
      </c>
      <c r="E18" s="46" t="s">
        <v>132</v>
      </c>
      <c r="F18" s="46" t="s">
        <v>94</v>
      </c>
      <c r="G18" s="46">
        <v>57595</v>
      </c>
      <c r="H18" s="46" t="s">
        <v>133</v>
      </c>
      <c r="I18" s="46" t="s">
        <v>134</v>
      </c>
      <c r="J18" s="46">
        <v>10</v>
      </c>
      <c r="K18" s="46">
        <v>10101</v>
      </c>
      <c r="L18" s="48">
        <v>0.58333333333333337</v>
      </c>
      <c r="M18" s="46">
        <v>50</v>
      </c>
      <c r="N18" s="46">
        <v>32</v>
      </c>
      <c r="O18" s="46">
        <v>50</v>
      </c>
      <c r="P18" s="46">
        <v>50</v>
      </c>
      <c r="Q18" s="46" t="s">
        <v>135</v>
      </c>
      <c r="R18" s="48">
        <v>0.70486111111111116</v>
      </c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x14ac:dyDescent="0.25">
      <c r="C19" s="50">
        <v>46143</v>
      </c>
      <c r="D19" s="4">
        <v>94081</v>
      </c>
      <c r="E19" s="4" t="s">
        <v>136</v>
      </c>
      <c r="F19" s="4" t="s">
        <v>110</v>
      </c>
      <c r="G19" s="4">
        <v>57509</v>
      </c>
      <c r="H19" s="4" t="s">
        <v>137</v>
      </c>
      <c r="I19" s="4" t="s">
        <v>138</v>
      </c>
      <c r="J19" s="4">
        <v>2</v>
      </c>
      <c r="K19" s="4">
        <v>10101</v>
      </c>
    </row>
    <row r="20" spans="1:76" x14ac:dyDescent="0.25">
      <c r="B20" s="4">
        <v>4692301001</v>
      </c>
      <c r="C20" s="50">
        <v>46143</v>
      </c>
      <c r="D20" s="4">
        <v>94111</v>
      </c>
      <c r="E20" s="4" t="s">
        <v>139</v>
      </c>
      <c r="F20" s="4" t="s">
        <v>110</v>
      </c>
      <c r="G20" s="4">
        <v>50031</v>
      </c>
      <c r="H20" s="4" t="s">
        <v>140</v>
      </c>
      <c r="I20" s="4" t="s">
        <v>99</v>
      </c>
      <c r="J20" s="4">
        <v>5</v>
      </c>
      <c r="K20" s="4">
        <v>10105</v>
      </c>
    </row>
    <row r="21" spans="1:76" x14ac:dyDescent="0.25">
      <c r="C21" s="50">
        <v>46143</v>
      </c>
      <c r="D21" s="4">
        <v>94118</v>
      </c>
      <c r="E21" s="4" t="s">
        <v>141</v>
      </c>
      <c r="F21" s="4" t="s">
        <v>94</v>
      </c>
      <c r="G21" s="4">
        <v>56929</v>
      </c>
      <c r="H21" s="4" t="s">
        <v>142</v>
      </c>
      <c r="I21" s="4" t="s">
        <v>120</v>
      </c>
      <c r="J21" s="4">
        <v>2</v>
      </c>
      <c r="K21" s="4">
        <v>10102</v>
      </c>
    </row>
    <row r="22" spans="1:76" x14ac:dyDescent="0.25">
      <c r="B22" s="4">
        <v>4690701001</v>
      </c>
      <c r="C22" s="50">
        <v>46143</v>
      </c>
      <c r="D22" s="4">
        <v>94145</v>
      </c>
      <c r="E22" s="4" t="s">
        <v>143</v>
      </c>
      <c r="F22" s="4" t="s">
        <v>94</v>
      </c>
      <c r="G22" s="4">
        <v>57491</v>
      </c>
      <c r="H22" s="4" t="s">
        <v>144</v>
      </c>
      <c r="I22" s="4" t="s">
        <v>103</v>
      </c>
      <c r="J22" s="4">
        <v>5</v>
      </c>
      <c r="K22" s="4">
        <v>10101</v>
      </c>
    </row>
    <row r="23" spans="1:76" x14ac:dyDescent="0.25">
      <c r="B23" s="4">
        <v>4690701002</v>
      </c>
      <c r="C23" s="50">
        <v>46143</v>
      </c>
      <c r="D23" s="4">
        <v>94145</v>
      </c>
      <c r="E23" s="4" t="s">
        <v>143</v>
      </c>
      <c r="F23" s="4" t="s">
        <v>94</v>
      </c>
      <c r="G23" s="4">
        <v>57638</v>
      </c>
      <c r="H23" s="4" t="s">
        <v>145</v>
      </c>
      <c r="I23" s="4" t="s">
        <v>103</v>
      </c>
      <c r="J23" s="4">
        <v>6</v>
      </c>
      <c r="K23" s="4">
        <v>10101</v>
      </c>
    </row>
    <row r="24" spans="1:76" x14ac:dyDescent="0.25">
      <c r="C24" s="50">
        <v>46143</v>
      </c>
      <c r="D24" s="4">
        <v>94145</v>
      </c>
      <c r="E24" s="4" t="s">
        <v>143</v>
      </c>
      <c r="F24" s="4" t="s">
        <v>94</v>
      </c>
      <c r="G24" s="4">
        <v>57637</v>
      </c>
      <c r="H24" s="4" t="s">
        <v>146</v>
      </c>
      <c r="I24" s="4" t="s">
        <v>103</v>
      </c>
      <c r="J24" s="4">
        <v>7</v>
      </c>
      <c r="K24" s="4">
        <v>10101</v>
      </c>
    </row>
    <row r="25" spans="1:76" x14ac:dyDescent="0.25">
      <c r="C25" s="50">
        <v>46143</v>
      </c>
      <c r="D25" s="4">
        <v>94145</v>
      </c>
      <c r="E25" s="4" t="s">
        <v>143</v>
      </c>
      <c r="F25" s="4" t="s">
        <v>94</v>
      </c>
      <c r="G25" s="4">
        <v>57435</v>
      </c>
      <c r="H25" s="4" t="s">
        <v>147</v>
      </c>
      <c r="I25" s="4" t="s">
        <v>103</v>
      </c>
      <c r="J25" s="4">
        <v>8</v>
      </c>
      <c r="K25" s="4">
        <v>10101</v>
      </c>
    </row>
    <row r="26" spans="1:76" s="49" customFormat="1" x14ac:dyDescent="0.25">
      <c r="A26" s="46"/>
      <c r="B26" s="46">
        <v>4704001002</v>
      </c>
      <c r="C26" s="47">
        <v>46143</v>
      </c>
      <c r="D26" s="46">
        <v>94228</v>
      </c>
      <c r="E26" s="46" t="s">
        <v>148</v>
      </c>
      <c r="F26" s="46" t="s">
        <v>110</v>
      </c>
      <c r="G26" s="46">
        <v>40089</v>
      </c>
      <c r="H26" s="46" t="s">
        <v>149</v>
      </c>
      <c r="I26" s="46" t="s">
        <v>103</v>
      </c>
      <c r="J26" s="46">
        <v>1</v>
      </c>
      <c r="K26" s="46">
        <v>10101</v>
      </c>
      <c r="L26" s="48">
        <v>0.41666666666666669</v>
      </c>
      <c r="M26" s="46">
        <v>42</v>
      </c>
      <c r="N26" s="46">
        <v>48</v>
      </c>
      <c r="O26" s="46">
        <v>28</v>
      </c>
      <c r="P26" s="46">
        <v>28</v>
      </c>
      <c r="Q26" s="46"/>
      <c r="R26" s="48">
        <v>0.46527777777777779</v>
      </c>
      <c r="S26" s="46">
        <v>28</v>
      </c>
      <c r="T26" s="46">
        <v>25</v>
      </c>
      <c r="U26" s="46">
        <v>30</v>
      </c>
      <c r="V26" s="46">
        <v>30</v>
      </c>
      <c r="W26" s="46"/>
      <c r="X26" s="48">
        <v>0.72916666666666663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</row>
    <row r="27" spans="1:76" s="49" customFormat="1" x14ac:dyDescent="0.25">
      <c r="A27" s="46"/>
      <c r="B27" s="46">
        <v>4704101003</v>
      </c>
      <c r="C27" s="47">
        <v>46143</v>
      </c>
      <c r="D27" s="46">
        <v>94348</v>
      </c>
      <c r="E27" s="46" t="s">
        <v>150</v>
      </c>
      <c r="F27" s="46" t="s">
        <v>125</v>
      </c>
      <c r="G27" s="46">
        <v>45363</v>
      </c>
      <c r="H27" s="46" t="s">
        <v>151</v>
      </c>
      <c r="I27" s="46" t="s">
        <v>99</v>
      </c>
      <c r="J27" s="46">
        <v>1</v>
      </c>
      <c r="K27" s="46">
        <v>10105</v>
      </c>
      <c r="L27" s="48">
        <v>0.69444444444444442</v>
      </c>
      <c r="M27" s="46">
        <v>20</v>
      </c>
      <c r="N27" s="46">
        <v>23</v>
      </c>
      <c r="O27" s="46"/>
      <c r="P27" s="46"/>
      <c r="Q27" s="46" t="s">
        <v>152</v>
      </c>
      <c r="R27" s="48">
        <v>0.69513888888888886</v>
      </c>
      <c r="S27" s="46">
        <v>20</v>
      </c>
      <c r="T27" s="46">
        <v>34</v>
      </c>
      <c r="U27" s="46"/>
      <c r="V27" s="46"/>
      <c r="W27" s="46" t="s">
        <v>153</v>
      </c>
      <c r="X27" s="48">
        <v>0.69513888888888886</v>
      </c>
      <c r="Y27" s="46">
        <v>39</v>
      </c>
      <c r="Z27" s="46">
        <v>21</v>
      </c>
      <c r="AA27" s="46"/>
      <c r="AB27" s="46"/>
      <c r="AC27" s="46" t="s">
        <v>154</v>
      </c>
      <c r="AD27" s="48">
        <v>0.67777777777777781</v>
      </c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</row>
    <row r="28" spans="1:76" s="49" customFormat="1" x14ac:dyDescent="0.25">
      <c r="A28" s="46">
        <v>3</v>
      </c>
      <c r="B28" s="46">
        <v>4704101004</v>
      </c>
      <c r="C28" s="47">
        <v>46143</v>
      </c>
      <c r="D28" s="46">
        <v>94348</v>
      </c>
      <c r="E28" s="46" t="s">
        <v>150</v>
      </c>
      <c r="F28" s="46" t="s">
        <v>125</v>
      </c>
      <c r="G28" s="46">
        <v>57704</v>
      </c>
      <c r="H28" s="46" t="s">
        <v>155</v>
      </c>
      <c r="I28" s="46" t="s">
        <v>99</v>
      </c>
      <c r="J28" s="46">
        <v>2</v>
      </c>
      <c r="K28" s="46">
        <v>10105</v>
      </c>
      <c r="L28" s="46"/>
      <c r="M28" s="46">
        <v>3</v>
      </c>
      <c r="N28" s="46">
        <v>3</v>
      </c>
      <c r="O28" s="46">
        <v>3</v>
      </c>
      <c r="P28" s="46">
        <v>3</v>
      </c>
      <c r="Q28" s="46" t="s">
        <v>156</v>
      </c>
      <c r="R28" s="46"/>
      <c r="S28" s="46">
        <v>4</v>
      </c>
      <c r="T28" s="46">
        <v>4</v>
      </c>
      <c r="U28" s="46">
        <v>5</v>
      </c>
      <c r="V28" s="46">
        <f>U28</f>
        <v>5</v>
      </c>
      <c r="W28" s="46" t="s">
        <v>157</v>
      </c>
      <c r="X28" s="46"/>
      <c r="Y28" s="46">
        <v>1</v>
      </c>
      <c r="Z28" s="46">
        <v>1</v>
      </c>
      <c r="AA28" s="46">
        <v>1</v>
      </c>
      <c r="AB28" s="46">
        <v>1</v>
      </c>
      <c r="AC28" s="46" t="s">
        <v>158</v>
      </c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</row>
    <row r="29" spans="1:76" x14ac:dyDescent="0.25">
      <c r="B29" s="4">
        <v>4704101005</v>
      </c>
      <c r="C29" s="50">
        <v>46143</v>
      </c>
      <c r="D29" s="4">
        <v>94348</v>
      </c>
      <c r="E29" s="4" t="s">
        <v>150</v>
      </c>
      <c r="F29" s="4" t="s">
        <v>108</v>
      </c>
      <c r="G29" s="4">
        <v>51375</v>
      </c>
      <c r="H29" s="4" t="s">
        <v>159</v>
      </c>
      <c r="I29" s="4" t="s">
        <v>99</v>
      </c>
      <c r="J29" s="4">
        <v>4</v>
      </c>
      <c r="K29" s="4">
        <v>10105</v>
      </c>
    </row>
    <row r="30" spans="1:76" s="49" customFormat="1" x14ac:dyDescent="0.25">
      <c r="A30" s="46"/>
      <c r="B30" s="46">
        <v>4704601002</v>
      </c>
      <c r="C30" s="47">
        <v>46143</v>
      </c>
      <c r="D30" s="46">
        <v>94400</v>
      </c>
      <c r="E30" s="46" t="s">
        <v>160</v>
      </c>
      <c r="F30" s="46" t="s">
        <v>94</v>
      </c>
      <c r="G30" s="46">
        <v>57699</v>
      </c>
      <c r="H30" s="46" t="s">
        <v>161</v>
      </c>
      <c r="I30" s="46" t="s">
        <v>138</v>
      </c>
      <c r="J30" s="46">
        <v>2</v>
      </c>
      <c r="K30" s="46">
        <v>10107</v>
      </c>
      <c r="L30" s="48"/>
      <c r="M30" s="46">
        <v>3</v>
      </c>
      <c r="N30" s="46">
        <v>3</v>
      </c>
      <c r="O30" s="46">
        <v>3</v>
      </c>
      <c r="P30" s="46">
        <f>O30</f>
        <v>3</v>
      </c>
      <c r="Q30" s="46" t="s">
        <v>162</v>
      </c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</row>
    <row r="31" spans="1:76" s="51" customFormat="1" x14ac:dyDescent="0.25">
      <c r="A31" s="52"/>
      <c r="B31" s="52"/>
      <c r="C31" s="52"/>
      <c r="D31" s="52"/>
      <c r="E31" s="52" t="s">
        <v>163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</row>
    <row r="32" spans="1:76" s="49" customFormat="1" x14ac:dyDescent="0.25">
      <c r="A32" s="46"/>
      <c r="B32" s="46">
        <v>4695201006</v>
      </c>
      <c r="C32" s="46"/>
      <c r="D32" s="46">
        <v>94281</v>
      </c>
      <c r="E32" s="46" t="s">
        <v>164</v>
      </c>
      <c r="F32" s="46">
        <v>2</v>
      </c>
      <c r="G32" s="46">
        <v>57098</v>
      </c>
      <c r="H32" s="46" t="s">
        <v>165</v>
      </c>
      <c r="I32" s="46" t="s">
        <v>166</v>
      </c>
      <c r="J32" s="46"/>
      <c r="K32" s="46"/>
      <c r="L32" s="48">
        <v>0.45</v>
      </c>
      <c r="M32" s="46">
        <v>50</v>
      </c>
      <c r="N32" s="46">
        <v>50</v>
      </c>
      <c r="O32" s="46">
        <v>25</v>
      </c>
      <c r="P32" s="46">
        <v>27</v>
      </c>
      <c r="Q32" s="46"/>
      <c r="R32" s="48">
        <v>0.4513888888888889</v>
      </c>
      <c r="S32" s="46">
        <v>3</v>
      </c>
      <c r="T32" s="46">
        <v>2</v>
      </c>
      <c r="U32" s="46">
        <v>4</v>
      </c>
      <c r="V32" s="46">
        <v>5</v>
      </c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</row>
    <row r="33" spans="1:76" x14ac:dyDescent="0.25">
      <c r="A33" s="79"/>
      <c r="B33" s="79">
        <v>4695201004</v>
      </c>
      <c r="C33" s="79"/>
      <c r="D33" s="79">
        <v>94281</v>
      </c>
      <c r="E33" s="79" t="s">
        <v>164</v>
      </c>
      <c r="F33" s="79">
        <v>2</v>
      </c>
      <c r="G33" s="79">
        <v>57098</v>
      </c>
      <c r="H33" s="79" t="s">
        <v>165</v>
      </c>
      <c r="I33" s="79" t="s">
        <v>166</v>
      </c>
      <c r="J33" s="79"/>
      <c r="K33" s="79"/>
      <c r="L33" s="80">
        <v>0.35</v>
      </c>
      <c r="M33" s="79">
        <v>4</v>
      </c>
      <c r="N33" s="79">
        <v>2</v>
      </c>
      <c r="O33" s="79">
        <v>3</v>
      </c>
      <c r="P33" s="79">
        <v>5</v>
      </c>
      <c r="Q33" s="79" t="s">
        <v>167</v>
      </c>
      <c r="R33" s="80">
        <v>0.45</v>
      </c>
      <c r="S33" s="79">
        <v>4</v>
      </c>
      <c r="T33" s="79">
        <v>3</v>
      </c>
      <c r="U33" s="79">
        <v>2</v>
      </c>
      <c r="V33" s="79">
        <f>U33</f>
        <v>2</v>
      </c>
      <c r="W33" s="79" t="s">
        <v>168</v>
      </c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</row>
    <row r="34" spans="1:76" s="49" customFormat="1" x14ac:dyDescent="0.25">
      <c r="A34" s="46"/>
      <c r="B34" s="46">
        <v>4707501001</v>
      </c>
      <c r="C34" s="46"/>
      <c r="D34" s="46">
        <v>93171</v>
      </c>
      <c r="E34" s="46" t="s">
        <v>169</v>
      </c>
      <c r="F34" s="46">
        <v>1</v>
      </c>
      <c r="G34" s="46">
        <v>47181</v>
      </c>
      <c r="H34" s="46" t="s">
        <v>170</v>
      </c>
      <c r="I34" s="46" t="s">
        <v>103</v>
      </c>
      <c r="J34" s="46">
        <v>6</v>
      </c>
      <c r="K34" s="46">
        <v>10103</v>
      </c>
      <c r="L34" s="48">
        <v>0.67361111111111116</v>
      </c>
      <c r="M34" s="46">
        <v>5</v>
      </c>
      <c r="N34" s="46">
        <v>4</v>
      </c>
      <c r="O34" s="46"/>
      <c r="P34" s="46"/>
      <c r="Q34" s="46" t="s">
        <v>171</v>
      </c>
      <c r="R34" s="48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</row>
  </sheetData>
  <mergeCells count="2">
    <mergeCell ref="A1:D1"/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DA12-99E6-444A-A952-EDACE04A0815}">
  <sheetPr>
    <tabColor rgb="FFFF0000"/>
  </sheetPr>
  <dimension ref="A1:BX45"/>
  <sheetViews>
    <sheetView workbookViewId="0">
      <pane ySplit="2" topLeftCell="A23" activePane="bottomLeft" state="frozen"/>
      <selection pane="bottomLeft" activeCell="T37" sqref="T37"/>
    </sheetView>
  </sheetViews>
  <sheetFormatPr defaultRowHeight="15" x14ac:dyDescent="0.25"/>
  <cols>
    <col min="1" max="1" width="27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51" customFormat="1" x14ac:dyDescent="0.25">
      <c r="A3" s="4"/>
      <c r="B3" s="4">
        <v>4688601002</v>
      </c>
      <c r="C3" s="50">
        <v>46143</v>
      </c>
      <c r="D3" s="4">
        <v>92369</v>
      </c>
      <c r="E3" s="4" t="s">
        <v>100</v>
      </c>
      <c r="F3" s="4">
        <v>13</v>
      </c>
      <c r="G3" s="4">
        <v>52497</v>
      </c>
      <c r="H3" s="4" t="s">
        <v>102</v>
      </c>
      <c r="I3" s="4" t="s">
        <v>103</v>
      </c>
      <c r="J3" s="4">
        <v>1</v>
      </c>
      <c r="K3" s="4">
        <v>10106</v>
      </c>
      <c r="L3" s="4"/>
      <c r="M3" s="4"/>
      <c r="N3" s="4"/>
      <c r="O3" s="4"/>
      <c r="P3" s="4"/>
      <c r="Q3" s="4"/>
      <c r="R3" s="4"/>
      <c r="S3" s="4"/>
      <c r="T3" s="52"/>
      <c r="U3" s="83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</row>
    <row r="4" spans="1:76" s="51" customFormat="1" x14ac:dyDescent="0.25">
      <c r="A4" s="4"/>
      <c r="B4" s="4">
        <v>4688601001</v>
      </c>
      <c r="C4" s="50">
        <v>46143</v>
      </c>
      <c r="D4" s="4">
        <v>92369</v>
      </c>
      <c r="E4" s="4" t="s">
        <v>100</v>
      </c>
      <c r="F4" s="4">
        <v>1</v>
      </c>
      <c r="G4" s="4">
        <v>52496</v>
      </c>
      <c r="H4" s="4" t="s">
        <v>172</v>
      </c>
      <c r="I4" s="4" t="s">
        <v>103</v>
      </c>
      <c r="J4" s="4">
        <v>2</v>
      </c>
      <c r="K4" s="4">
        <v>10106</v>
      </c>
      <c r="L4" s="4"/>
      <c r="M4" s="4"/>
      <c r="N4" s="4"/>
      <c r="O4" s="4"/>
      <c r="P4" s="4"/>
      <c r="Q4" s="4"/>
      <c r="R4" s="4"/>
      <c r="S4" s="4"/>
      <c r="T4" s="52"/>
      <c r="U4" s="83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</row>
    <row r="5" spans="1:76" s="3" customFormat="1" x14ac:dyDescent="0.25">
      <c r="A5" s="4"/>
      <c r="B5" s="4">
        <v>4693701001</v>
      </c>
      <c r="C5" s="50">
        <v>46143</v>
      </c>
      <c r="D5" s="4">
        <v>92399</v>
      </c>
      <c r="E5" s="4" t="s">
        <v>169</v>
      </c>
      <c r="F5" s="4">
        <v>8</v>
      </c>
      <c r="G5" s="4">
        <v>41989</v>
      </c>
      <c r="H5" s="4" t="s">
        <v>173</v>
      </c>
      <c r="I5" s="4" t="s">
        <v>103</v>
      </c>
      <c r="J5" s="4">
        <v>2</v>
      </c>
      <c r="K5" s="4">
        <v>10103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B6" s="4">
        <v>4688801001</v>
      </c>
      <c r="C6" s="50">
        <v>46143</v>
      </c>
      <c r="D6" s="4">
        <v>93839</v>
      </c>
      <c r="E6" s="4" t="s">
        <v>118</v>
      </c>
      <c r="F6" s="4">
        <v>1</v>
      </c>
      <c r="G6" s="4">
        <v>37266</v>
      </c>
      <c r="H6" s="4" t="s">
        <v>174</v>
      </c>
      <c r="I6" s="4" t="s">
        <v>120</v>
      </c>
      <c r="J6" s="4">
        <v>2</v>
      </c>
      <c r="K6" s="4">
        <v>10104</v>
      </c>
      <c r="U6" s="21"/>
    </row>
    <row r="7" spans="1:76" s="49" customFormat="1" x14ac:dyDescent="0.25">
      <c r="A7" s="46"/>
      <c r="B7" s="46">
        <v>4708201001</v>
      </c>
      <c r="C7" s="47">
        <v>46143</v>
      </c>
      <c r="D7" s="46">
        <v>93889</v>
      </c>
      <c r="E7" s="46" t="s">
        <v>128</v>
      </c>
      <c r="F7" s="46">
        <v>1</v>
      </c>
      <c r="G7" s="46">
        <v>50430</v>
      </c>
      <c r="H7" s="46" t="s">
        <v>129</v>
      </c>
      <c r="I7" s="46" t="s">
        <v>103</v>
      </c>
      <c r="J7" s="46">
        <v>1</v>
      </c>
      <c r="K7" s="46">
        <v>10106</v>
      </c>
      <c r="L7" s="48">
        <v>0.39583333333333331</v>
      </c>
      <c r="M7" s="46">
        <v>53</v>
      </c>
      <c r="N7" s="46">
        <v>50</v>
      </c>
      <c r="O7" s="46">
        <v>13</v>
      </c>
      <c r="P7" s="46">
        <v>43</v>
      </c>
      <c r="Q7" s="46" t="s">
        <v>175</v>
      </c>
      <c r="R7" s="48">
        <v>0.45833333333333331</v>
      </c>
      <c r="S7" s="46"/>
      <c r="T7" s="46"/>
      <c r="U7" s="92"/>
      <c r="V7" s="93"/>
      <c r="W7" s="93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 x14ac:dyDescent="0.25">
      <c r="B8" s="4">
        <v>4674801002</v>
      </c>
      <c r="C8" s="50">
        <v>46143</v>
      </c>
      <c r="D8" s="4">
        <v>93962</v>
      </c>
      <c r="E8" s="4" t="s">
        <v>176</v>
      </c>
      <c r="F8" s="4">
        <v>4</v>
      </c>
      <c r="G8" s="4">
        <v>37599</v>
      </c>
      <c r="H8" s="4" t="s">
        <v>177</v>
      </c>
      <c r="I8" s="4" t="s">
        <v>106</v>
      </c>
      <c r="J8" s="4">
        <v>2</v>
      </c>
      <c r="K8" s="4">
        <v>10103</v>
      </c>
      <c r="U8" s="66"/>
      <c r="V8" s="5"/>
      <c r="W8" s="5"/>
    </row>
    <row r="9" spans="1:76" x14ac:dyDescent="0.25">
      <c r="B9" s="4">
        <v>4674801003</v>
      </c>
      <c r="C9" s="50">
        <v>46143</v>
      </c>
      <c r="D9" s="4">
        <v>93962</v>
      </c>
      <c r="E9" s="4" t="s">
        <v>176</v>
      </c>
      <c r="F9" s="4">
        <v>2</v>
      </c>
      <c r="G9" s="4">
        <v>57485</v>
      </c>
      <c r="H9" s="4" t="s">
        <v>178</v>
      </c>
      <c r="I9" s="4" t="s">
        <v>106</v>
      </c>
      <c r="J9" s="4">
        <v>3</v>
      </c>
      <c r="K9" s="4">
        <v>10103</v>
      </c>
      <c r="U9" s="67"/>
    </row>
    <row r="10" spans="1:76" x14ac:dyDescent="0.25">
      <c r="B10" s="4">
        <v>4674801004</v>
      </c>
      <c r="C10" s="50">
        <v>46143</v>
      </c>
      <c r="D10" s="4">
        <v>93962</v>
      </c>
      <c r="E10" s="4" t="s">
        <v>176</v>
      </c>
      <c r="F10" s="4">
        <v>2</v>
      </c>
      <c r="G10" s="4">
        <v>57486</v>
      </c>
      <c r="H10" s="4" t="s">
        <v>178</v>
      </c>
      <c r="I10" s="4" t="s">
        <v>106</v>
      </c>
      <c r="J10" s="4">
        <v>4</v>
      </c>
      <c r="K10" s="4">
        <v>10103</v>
      </c>
      <c r="U10" s="21"/>
    </row>
    <row r="11" spans="1:76" x14ac:dyDescent="0.25">
      <c r="B11" s="4">
        <v>4702901009</v>
      </c>
      <c r="C11" s="50">
        <v>46143</v>
      </c>
      <c r="D11" s="4">
        <v>94001</v>
      </c>
      <c r="E11" s="4" t="s">
        <v>132</v>
      </c>
      <c r="F11" s="4">
        <v>1</v>
      </c>
      <c r="G11" s="4">
        <v>57596</v>
      </c>
      <c r="H11" s="4" t="s">
        <v>179</v>
      </c>
      <c r="I11" s="4" t="s">
        <v>134</v>
      </c>
      <c r="J11" s="4">
        <v>9</v>
      </c>
      <c r="K11" s="4">
        <v>10101</v>
      </c>
      <c r="U11" s="21"/>
    </row>
    <row r="12" spans="1:76" x14ac:dyDescent="0.25">
      <c r="B12" s="4">
        <v>4692301001</v>
      </c>
      <c r="C12" s="50">
        <v>46143</v>
      </c>
      <c r="D12" s="4">
        <v>94111</v>
      </c>
      <c r="E12" s="4" t="s">
        <v>139</v>
      </c>
      <c r="F12" s="4">
        <v>2</v>
      </c>
      <c r="G12" s="4">
        <v>50031</v>
      </c>
      <c r="H12" s="4" t="s">
        <v>140</v>
      </c>
      <c r="I12" s="4" t="s">
        <v>99</v>
      </c>
      <c r="J12" s="4">
        <v>5</v>
      </c>
      <c r="K12" s="4">
        <v>10105</v>
      </c>
      <c r="U12" s="21"/>
    </row>
    <row r="13" spans="1:76" x14ac:dyDescent="0.25">
      <c r="B13" s="4">
        <v>4690701001</v>
      </c>
      <c r="C13" s="50">
        <v>46143</v>
      </c>
      <c r="D13" s="4">
        <v>94145</v>
      </c>
      <c r="E13" s="4" t="s">
        <v>143</v>
      </c>
      <c r="F13" s="4">
        <v>1</v>
      </c>
      <c r="G13" s="4">
        <v>57491</v>
      </c>
      <c r="H13" s="4" t="s">
        <v>144</v>
      </c>
      <c r="I13" s="4" t="s">
        <v>103</v>
      </c>
      <c r="J13" s="4">
        <v>5</v>
      </c>
      <c r="K13" s="4">
        <v>10101</v>
      </c>
      <c r="U13" s="21"/>
    </row>
    <row r="14" spans="1:76" x14ac:dyDescent="0.25">
      <c r="B14" s="4">
        <v>4690701008</v>
      </c>
      <c r="C14" s="50">
        <v>46143</v>
      </c>
      <c r="D14" s="4">
        <v>94145</v>
      </c>
      <c r="E14" s="4" t="s">
        <v>143</v>
      </c>
      <c r="F14" s="4">
        <v>1</v>
      </c>
      <c r="G14" s="4">
        <v>57637</v>
      </c>
      <c r="H14" s="4" t="s">
        <v>146</v>
      </c>
      <c r="I14" s="4" t="s">
        <v>103</v>
      </c>
      <c r="J14" s="4">
        <v>7</v>
      </c>
      <c r="K14" s="4">
        <v>10101</v>
      </c>
      <c r="U14" s="21"/>
    </row>
    <row r="15" spans="1:76" s="90" customFormat="1" x14ac:dyDescent="0.25">
      <c r="A15" s="88" t="s">
        <v>180</v>
      </c>
      <c r="B15" s="88">
        <v>4690701009</v>
      </c>
      <c r="C15" s="89">
        <v>46143</v>
      </c>
      <c r="D15" s="88">
        <v>94145</v>
      </c>
      <c r="E15" s="88" t="s">
        <v>143</v>
      </c>
      <c r="F15" s="88">
        <v>1</v>
      </c>
      <c r="G15" s="88">
        <v>57435</v>
      </c>
      <c r="H15" s="88" t="s">
        <v>147</v>
      </c>
      <c r="I15" s="88" t="s">
        <v>103</v>
      </c>
      <c r="J15" s="88">
        <v>8</v>
      </c>
      <c r="K15" s="88">
        <v>10101</v>
      </c>
      <c r="L15" s="91">
        <v>0.63888888888888884</v>
      </c>
      <c r="M15" s="88">
        <v>50</v>
      </c>
      <c r="N15" s="88">
        <v>14</v>
      </c>
      <c r="O15" s="88"/>
      <c r="P15" s="88"/>
      <c r="Q15" s="88"/>
      <c r="R15" s="88"/>
      <c r="S15" s="88"/>
      <c r="T15" s="88"/>
      <c r="U15" s="94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</row>
    <row r="16" spans="1:76" x14ac:dyDescent="0.25">
      <c r="B16" s="4">
        <v>4690701003</v>
      </c>
      <c r="C16" s="50">
        <v>46143</v>
      </c>
      <c r="D16" s="4">
        <v>94145</v>
      </c>
      <c r="E16" s="4" t="s">
        <v>143</v>
      </c>
      <c r="F16" s="4">
        <v>1</v>
      </c>
      <c r="G16" s="4">
        <v>57662</v>
      </c>
      <c r="H16" s="4" t="s">
        <v>181</v>
      </c>
      <c r="I16" s="4" t="s">
        <v>103</v>
      </c>
      <c r="J16" s="4">
        <v>9</v>
      </c>
      <c r="K16" s="4">
        <v>10101</v>
      </c>
      <c r="U16" s="21"/>
    </row>
    <row r="17" spans="1:76" x14ac:dyDescent="0.25">
      <c r="B17" s="4">
        <v>4704101005</v>
      </c>
      <c r="C17" s="50">
        <v>46143</v>
      </c>
      <c r="D17" s="4">
        <v>94348</v>
      </c>
      <c r="E17" s="4" t="s">
        <v>150</v>
      </c>
      <c r="F17" s="4">
        <v>6</v>
      </c>
      <c r="G17" s="4">
        <v>51375</v>
      </c>
      <c r="H17" s="4" t="s">
        <v>159</v>
      </c>
      <c r="I17" s="4" t="s">
        <v>99</v>
      </c>
      <c r="J17" s="4">
        <v>4</v>
      </c>
      <c r="K17" s="4">
        <v>10105</v>
      </c>
      <c r="U17" s="21"/>
    </row>
    <row r="18" spans="1:76" x14ac:dyDescent="0.25">
      <c r="B18" s="4">
        <v>4704601002</v>
      </c>
      <c r="C18" s="50">
        <v>46143</v>
      </c>
      <c r="D18" s="4">
        <v>94400</v>
      </c>
      <c r="E18" s="4" t="s">
        <v>160</v>
      </c>
      <c r="F18" s="4">
        <v>1</v>
      </c>
      <c r="G18" s="4">
        <v>57699</v>
      </c>
      <c r="H18" s="4" t="s">
        <v>161</v>
      </c>
      <c r="I18" s="4" t="s">
        <v>138</v>
      </c>
      <c r="J18" s="4">
        <v>2</v>
      </c>
      <c r="K18" s="4">
        <v>10107</v>
      </c>
      <c r="U18" s="21"/>
    </row>
    <row r="19" spans="1:76" x14ac:dyDescent="0.25">
      <c r="C19" s="50">
        <v>46174</v>
      </c>
      <c r="D19" s="4">
        <v>89559</v>
      </c>
      <c r="E19" s="4" t="s">
        <v>182</v>
      </c>
      <c r="F19" s="4">
        <v>3</v>
      </c>
      <c r="G19" s="4">
        <v>56979</v>
      </c>
      <c r="H19" s="4" t="s">
        <v>183</v>
      </c>
      <c r="I19" s="4" t="s">
        <v>120</v>
      </c>
      <c r="J19" s="4">
        <v>7</v>
      </c>
      <c r="K19" s="4">
        <v>10102</v>
      </c>
      <c r="U19" s="21"/>
    </row>
    <row r="20" spans="1:76" x14ac:dyDescent="0.25">
      <c r="C20" s="50">
        <v>46174</v>
      </c>
      <c r="D20" s="4">
        <v>90036</v>
      </c>
      <c r="E20" s="4" t="s">
        <v>182</v>
      </c>
      <c r="F20" s="4">
        <v>2</v>
      </c>
      <c r="G20" s="4">
        <v>56979</v>
      </c>
      <c r="H20" s="4" t="s">
        <v>183</v>
      </c>
      <c r="I20" s="4" t="s">
        <v>120</v>
      </c>
      <c r="J20" s="4">
        <v>6</v>
      </c>
      <c r="K20" s="4">
        <v>10102</v>
      </c>
      <c r="U20" s="21"/>
    </row>
    <row r="21" spans="1:76" x14ac:dyDescent="0.25">
      <c r="B21" s="4">
        <v>4707401001</v>
      </c>
      <c r="C21" s="50">
        <v>46174</v>
      </c>
      <c r="D21" s="4">
        <v>91278</v>
      </c>
      <c r="E21" s="4" t="s">
        <v>169</v>
      </c>
      <c r="F21" s="4">
        <v>3</v>
      </c>
      <c r="G21" s="4">
        <v>57380</v>
      </c>
      <c r="H21" s="4" t="s">
        <v>184</v>
      </c>
      <c r="I21" s="4" t="s">
        <v>103</v>
      </c>
      <c r="J21" s="4">
        <v>1</v>
      </c>
      <c r="K21" s="4">
        <v>10103</v>
      </c>
      <c r="U21" s="21"/>
    </row>
    <row r="22" spans="1:76" x14ac:dyDescent="0.25">
      <c r="B22" s="4">
        <v>4693101001</v>
      </c>
      <c r="C22" s="50">
        <v>46174</v>
      </c>
      <c r="D22" s="4">
        <v>92943</v>
      </c>
      <c r="E22" s="4" t="s">
        <v>107</v>
      </c>
      <c r="F22" s="4">
        <v>6</v>
      </c>
      <c r="G22" s="4">
        <v>54998</v>
      </c>
      <c r="H22" s="4" t="s">
        <v>109</v>
      </c>
      <c r="I22" s="4" t="s">
        <v>103</v>
      </c>
      <c r="J22" s="4">
        <v>6</v>
      </c>
      <c r="K22" s="4">
        <v>10101</v>
      </c>
      <c r="U22" s="21"/>
    </row>
    <row r="23" spans="1:76" x14ac:dyDescent="0.25">
      <c r="B23" s="4">
        <v>4693101009</v>
      </c>
      <c r="C23" s="50">
        <v>46174</v>
      </c>
      <c r="D23" s="4">
        <v>92943</v>
      </c>
      <c r="E23" s="4" t="s">
        <v>107</v>
      </c>
      <c r="F23" s="4">
        <v>2</v>
      </c>
      <c r="G23" s="4">
        <v>25045</v>
      </c>
      <c r="H23" s="4" t="s">
        <v>111</v>
      </c>
      <c r="I23" s="4" t="s">
        <v>103</v>
      </c>
      <c r="J23" s="4">
        <v>97</v>
      </c>
      <c r="K23" s="4">
        <v>10101</v>
      </c>
      <c r="U23" s="21"/>
    </row>
    <row r="24" spans="1:76" x14ac:dyDescent="0.25">
      <c r="B24" s="4">
        <v>4599701026</v>
      </c>
      <c r="C24" s="50">
        <v>46174</v>
      </c>
      <c r="D24" s="4">
        <v>93145</v>
      </c>
      <c r="E24" s="4" t="s">
        <v>185</v>
      </c>
      <c r="F24" s="4">
        <v>1</v>
      </c>
      <c r="G24" s="4">
        <v>57530</v>
      </c>
      <c r="H24" s="4" t="s">
        <v>186</v>
      </c>
      <c r="J24" s="4">
        <v>27</v>
      </c>
      <c r="K24" s="4">
        <v>10101</v>
      </c>
      <c r="U24" s="21"/>
    </row>
    <row r="25" spans="1:76" x14ac:dyDescent="0.25">
      <c r="B25" s="4">
        <v>4599701027</v>
      </c>
      <c r="C25" s="50">
        <v>46174</v>
      </c>
      <c r="D25" s="4">
        <v>93145</v>
      </c>
      <c r="E25" s="4" t="s">
        <v>185</v>
      </c>
      <c r="F25" s="4">
        <v>1</v>
      </c>
      <c r="G25" s="4">
        <v>57527</v>
      </c>
      <c r="H25" s="4" t="s">
        <v>187</v>
      </c>
      <c r="J25" s="4">
        <v>28</v>
      </c>
      <c r="K25" s="4">
        <v>10101</v>
      </c>
      <c r="U25" s="21"/>
    </row>
    <row r="26" spans="1:76" x14ac:dyDescent="0.25">
      <c r="B26" s="4">
        <v>4599701028</v>
      </c>
      <c r="C26" s="50">
        <v>46174</v>
      </c>
      <c r="D26" s="4">
        <v>93145</v>
      </c>
      <c r="E26" s="4" t="s">
        <v>185</v>
      </c>
      <c r="F26" s="4">
        <v>1</v>
      </c>
      <c r="G26" s="4">
        <v>45391</v>
      </c>
      <c r="H26" s="4" t="s">
        <v>188</v>
      </c>
      <c r="J26" s="4">
        <v>29</v>
      </c>
      <c r="K26" s="4">
        <v>10101</v>
      </c>
      <c r="U26" s="21"/>
    </row>
    <row r="27" spans="1:76" x14ac:dyDescent="0.25">
      <c r="B27" s="4">
        <v>4695101001</v>
      </c>
      <c r="C27" s="50">
        <v>46174</v>
      </c>
      <c r="D27" s="4">
        <v>93982</v>
      </c>
      <c r="E27" s="4" t="s">
        <v>130</v>
      </c>
      <c r="F27" s="4">
        <v>1</v>
      </c>
      <c r="G27" s="4">
        <v>52164</v>
      </c>
      <c r="H27" s="4" t="s">
        <v>189</v>
      </c>
      <c r="I27" s="4" t="s">
        <v>103</v>
      </c>
      <c r="J27" s="4">
        <v>1</v>
      </c>
      <c r="K27" s="4">
        <v>10104</v>
      </c>
      <c r="U27" s="21"/>
    </row>
    <row r="28" spans="1:76" x14ac:dyDescent="0.25">
      <c r="B28" s="4">
        <v>4695101002</v>
      </c>
      <c r="C28" s="50">
        <v>46174</v>
      </c>
      <c r="D28" s="4">
        <v>93982</v>
      </c>
      <c r="E28" s="4" t="s">
        <v>130</v>
      </c>
      <c r="F28" s="4">
        <v>1</v>
      </c>
      <c r="G28" s="4">
        <v>52165</v>
      </c>
      <c r="H28" s="4" t="s">
        <v>190</v>
      </c>
      <c r="I28" s="4" t="s">
        <v>103</v>
      </c>
      <c r="J28" s="4">
        <v>18</v>
      </c>
      <c r="K28" s="4">
        <v>10104</v>
      </c>
      <c r="U28" s="21"/>
    </row>
    <row r="29" spans="1:76" s="90" customFormat="1" x14ac:dyDescent="0.25">
      <c r="A29" s="88" t="s">
        <v>180</v>
      </c>
      <c r="B29" s="88">
        <v>4708501001</v>
      </c>
      <c r="C29" s="89">
        <v>46174</v>
      </c>
      <c r="D29" s="88">
        <v>94054</v>
      </c>
      <c r="E29" s="88" t="s">
        <v>191</v>
      </c>
      <c r="F29" s="88">
        <v>1</v>
      </c>
      <c r="G29" s="88">
        <v>57571</v>
      </c>
      <c r="H29" s="88" t="s">
        <v>192</v>
      </c>
      <c r="I29" s="88" t="s">
        <v>106</v>
      </c>
      <c r="J29" s="88">
        <v>1</v>
      </c>
      <c r="K29" s="88">
        <v>10105</v>
      </c>
      <c r="L29" s="91">
        <v>0.5395833333333333</v>
      </c>
      <c r="M29" s="88">
        <v>50</v>
      </c>
      <c r="N29" s="88">
        <v>37</v>
      </c>
      <c r="O29" s="88">
        <v>18</v>
      </c>
      <c r="P29" s="88">
        <v>18</v>
      </c>
      <c r="Q29" s="88"/>
      <c r="R29" s="88"/>
      <c r="S29" s="88"/>
      <c r="T29" s="88"/>
      <c r="U29" s="94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</row>
    <row r="30" spans="1:76" s="81" customFormat="1" x14ac:dyDescent="0.25">
      <c r="A30" s="4"/>
      <c r="B30" s="4"/>
      <c r="C30" s="50">
        <v>46174</v>
      </c>
      <c r="D30" s="4">
        <v>94450</v>
      </c>
      <c r="E30" s="4" t="s">
        <v>193</v>
      </c>
      <c r="F30" s="4">
        <v>1</v>
      </c>
      <c r="G30" s="4">
        <v>57787</v>
      </c>
      <c r="H30" s="4" t="s">
        <v>194</v>
      </c>
      <c r="I30" s="4" t="s">
        <v>120</v>
      </c>
      <c r="J30" s="4">
        <v>1</v>
      </c>
      <c r="K30" s="4">
        <v>10108</v>
      </c>
      <c r="L30" s="4"/>
      <c r="M30" s="4"/>
      <c r="N30" s="4"/>
      <c r="O30" s="4"/>
      <c r="P30" s="4"/>
      <c r="Q30" s="4"/>
      <c r="R30" s="4"/>
      <c r="S30" s="4"/>
      <c r="T30" s="84"/>
      <c r="U30" s="85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</row>
    <row r="31" spans="1:76" s="82" customFormat="1" x14ac:dyDescent="0.25">
      <c r="A31" s="4"/>
      <c r="B31" s="4"/>
      <c r="C31" s="50">
        <v>46174</v>
      </c>
      <c r="D31" s="4">
        <v>94521</v>
      </c>
      <c r="E31" s="4" t="s">
        <v>195</v>
      </c>
      <c r="F31" s="4">
        <v>2</v>
      </c>
      <c r="G31" s="4">
        <v>57823</v>
      </c>
      <c r="H31" s="4" t="s">
        <v>196</v>
      </c>
      <c r="I31" s="4" t="s">
        <v>103</v>
      </c>
      <c r="J31" s="4">
        <v>1</v>
      </c>
      <c r="K31" s="4">
        <v>10104</v>
      </c>
      <c r="L31" s="4"/>
      <c r="M31" s="4"/>
      <c r="N31" s="4"/>
      <c r="O31" s="4"/>
      <c r="P31" s="4"/>
      <c r="Q31" s="4"/>
      <c r="R31" s="4"/>
      <c r="S31" s="4"/>
      <c r="T31" s="86"/>
      <c r="U31" s="87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</row>
    <row r="32" spans="1:76" s="49" customFormat="1" x14ac:dyDescent="0.25">
      <c r="A32" s="46"/>
      <c r="B32" s="46">
        <v>4708701002</v>
      </c>
      <c r="C32" s="47">
        <v>46204</v>
      </c>
      <c r="D32" s="46">
        <v>92406</v>
      </c>
      <c r="E32" s="46" t="s">
        <v>197</v>
      </c>
      <c r="F32" s="46">
        <v>1</v>
      </c>
      <c r="G32" s="46">
        <v>55877</v>
      </c>
      <c r="H32" s="46" t="s">
        <v>198</v>
      </c>
      <c r="I32" s="46" t="s">
        <v>103</v>
      </c>
      <c r="J32" s="46">
        <v>2</v>
      </c>
      <c r="K32" s="46">
        <v>10106</v>
      </c>
      <c r="L32" s="48">
        <v>0.40277777777777779</v>
      </c>
      <c r="M32" s="46">
        <v>17</v>
      </c>
      <c r="N32" s="46">
        <v>17</v>
      </c>
      <c r="O32" s="46">
        <v>46</v>
      </c>
      <c r="P32" s="46">
        <v>46</v>
      </c>
      <c r="Q32" s="46" t="s">
        <v>199</v>
      </c>
      <c r="R32" s="48">
        <v>0.47916666666666669</v>
      </c>
      <c r="S32" s="46"/>
      <c r="T32" s="46"/>
      <c r="U32" s="64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</row>
    <row r="33" spans="1:76" s="49" customFormat="1" x14ac:dyDescent="0.25">
      <c r="A33" s="46"/>
      <c r="B33" s="46">
        <v>4706601002</v>
      </c>
      <c r="C33" s="47">
        <v>46204</v>
      </c>
      <c r="D33" s="46">
        <v>93969</v>
      </c>
      <c r="E33" s="46" t="s">
        <v>200</v>
      </c>
      <c r="F33" s="46">
        <v>1</v>
      </c>
      <c r="G33" s="46">
        <v>6968</v>
      </c>
      <c r="H33" s="46" t="s">
        <v>201</v>
      </c>
      <c r="I33" s="46" t="s">
        <v>127</v>
      </c>
      <c r="J33" s="46">
        <v>1</v>
      </c>
      <c r="K33" s="46">
        <v>10106</v>
      </c>
      <c r="L33" s="48">
        <v>0.55555555555555558</v>
      </c>
      <c r="M33" s="46"/>
      <c r="N33" s="46"/>
      <c r="O33" s="46">
        <v>50</v>
      </c>
      <c r="P33" s="46">
        <v>44</v>
      </c>
      <c r="Q33" s="46"/>
      <c r="R33" s="48">
        <v>0.58194444444444449</v>
      </c>
      <c r="S33" s="46"/>
      <c r="T33" s="46"/>
      <c r="U33" s="64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</row>
    <row r="34" spans="1:76" s="90" customFormat="1" x14ac:dyDescent="0.25">
      <c r="A34" s="88"/>
      <c r="B34" s="88">
        <v>4708701001</v>
      </c>
      <c r="C34" s="89">
        <v>46204</v>
      </c>
      <c r="D34" s="88">
        <v>92406</v>
      </c>
      <c r="E34" s="88" t="s">
        <v>197</v>
      </c>
      <c r="F34" s="88">
        <v>1</v>
      </c>
      <c r="G34" s="88">
        <v>56432</v>
      </c>
      <c r="H34" s="88" t="s">
        <v>202</v>
      </c>
      <c r="I34" s="88" t="s">
        <v>103</v>
      </c>
      <c r="J34" s="88">
        <v>1</v>
      </c>
      <c r="K34" s="88">
        <v>10106</v>
      </c>
      <c r="L34" s="91">
        <v>0.44722222222222224</v>
      </c>
      <c r="M34" s="88">
        <v>50</v>
      </c>
      <c r="N34" s="88">
        <v>28</v>
      </c>
      <c r="O34" s="88">
        <v>50</v>
      </c>
      <c r="P34" s="88">
        <v>50</v>
      </c>
      <c r="Q34" s="88" t="s">
        <v>203</v>
      </c>
      <c r="R34" s="88"/>
      <c r="S34" s="88"/>
      <c r="T34" s="88"/>
      <c r="U34" s="94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</row>
    <row r="35" spans="1:76" s="49" customFormat="1" x14ac:dyDescent="0.25">
      <c r="A35" s="46"/>
      <c r="B35" s="46">
        <v>4708301001</v>
      </c>
      <c r="C35" s="47">
        <v>46174</v>
      </c>
      <c r="D35" s="46">
        <v>93869</v>
      </c>
      <c r="E35" s="46" t="s">
        <v>204</v>
      </c>
      <c r="F35" s="46">
        <v>1</v>
      </c>
      <c r="G35" s="46">
        <v>37267</v>
      </c>
      <c r="H35" s="46" t="s">
        <v>205</v>
      </c>
      <c r="I35" s="46" t="s">
        <v>103</v>
      </c>
      <c r="J35" s="46">
        <v>1</v>
      </c>
      <c r="K35" s="46">
        <v>10108</v>
      </c>
      <c r="L35" s="46"/>
      <c r="M35" s="46"/>
      <c r="N35" s="46"/>
      <c r="O35" s="46"/>
      <c r="P35" s="46"/>
      <c r="Q35" s="46" t="s">
        <v>206</v>
      </c>
      <c r="R35" s="48">
        <v>0.65625</v>
      </c>
      <c r="S35" s="46"/>
      <c r="T35" s="46"/>
      <c r="U35" s="64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</row>
    <row r="36" spans="1:76" s="49" customFormat="1" x14ac:dyDescent="0.25">
      <c r="A36" s="46"/>
      <c r="B36" s="46">
        <v>4682001003</v>
      </c>
      <c r="C36" s="47">
        <v>46204</v>
      </c>
      <c r="D36" s="46">
        <v>94063</v>
      </c>
      <c r="E36" s="46" t="s">
        <v>207</v>
      </c>
      <c r="F36" s="46">
        <v>1</v>
      </c>
      <c r="G36" s="46">
        <v>57615</v>
      </c>
      <c r="H36" s="46" t="s">
        <v>208</v>
      </c>
      <c r="I36" s="46" t="s">
        <v>120</v>
      </c>
      <c r="J36" s="46">
        <v>3</v>
      </c>
      <c r="K36" s="46">
        <v>10102</v>
      </c>
      <c r="L36" s="48">
        <v>0.63888888888888884</v>
      </c>
      <c r="M36" s="46">
        <v>50</v>
      </c>
      <c r="N36" s="46">
        <v>28</v>
      </c>
      <c r="O36" s="46">
        <v>50</v>
      </c>
      <c r="P36" s="46">
        <v>50</v>
      </c>
      <c r="Q36" s="46" t="s">
        <v>209</v>
      </c>
      <c r="R36" s="48">
        <v>0.70833333333333337</v>
      </c>
      <c r="S36" s="46"/>
      <c r="T36" s="46"/>
      <c r="U36" s="64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</row>
    <row r="37" spans="1:76" s="90" customFormat="1" x14ac:dyDescent="0.25">
      <c r="A37" s="88"/>
      <c r="B37" s="88">
        <v>4710901004</v>
      </c>
      <c r="C37" s="89">
        <v>46266</v>
      </c>
      <c r="D37" s="88">
        <v>93528</v>
      </c>
      <c r="E37" s="88" t="s">
        <v>210</v>
      </c>
      <c r="F37" s="88">
        <v>2</v>
      </c>
      <c r="G37" s="88">
        <v>57325</v>
      </c>
      <c r="H37" s="88" t="s">
        <v>211</v>
      </c>
      <c r="I37" s="88" t="s">
        <v>120</v>
      </c>
      <c r="J37" s="88">
        <v>4</v>
      </c>
      <c r="K37" s="88">
        <v>10102</v>
      </c>
      <c r="L37" s="91">
        <v>0.65972222222222221</v>
      </c>
      <c r="M37" s="88"/>
      <c r="N37" s="88"/>
      <c r="O37" s="88">
        <v>30</v>
      </c>
      <c r="P37" s="88">
        <v>44</v>
      </c>
      <c r="Q37" s="88"/>
      <c r="R37" s="88"/>
      <c r="S37" s="88"/>
      <c r="T37" s="88"/>
      <c r="U37" s="9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</row>
    <row r="38" spans="1:76" x14ac:dyDescent="0.25">
      <c r="U38" s="21"/>
    </row>
    <row r="39" spans="1:76" x14ac:dyDescent="0.25">
      <c r="U39" s="21"/>
    </row>
    <row r="40" spans="1:76" x14ac:dyDescent="0.25">
      <c r="U40" s="21"/>
    </row>
    <row r="41" spans="1:76" x14ac:dyDescent="0.25">
      <c r="U41" s="21"/>
    </row>
    <row r="42" spans="1:76" x14ac:dyDescent="0.25">
      <c r="U42" s="21"/>
    </row>
    <row r="43" spans="1:76" x14ac:dyDescent="0.25">
      <c r="U43" s="21"/>
    </row>
    <row r="44" spans="1:76" x14ac:dyDescent="0.25">
      <c r="U44" s="21"/>
    </row>
    <row r="45" spans="1:76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3F03-6EF4-4417-8BD3-EA67982B961D}">
  <sheetPr>
    <tabColor rgb="FFFFFF00"/>
  </sheetPr>
  <dimension ref="A1:U64"/>
  <sheetViews>
    <sheetView showGridLines="0" topLeftCell="V15" workbookViewId="0">
      <selection activeCell="V15" sqref="V15"/>
    </sheetView>
  </sheetViews>
  <sheetFormatPr defaultRowHeight="15" x14ac:dyDescent="0.25"/>
  <sheetData>
    <row r="1" spans="1:21" x14ac:dyDescent="0.25">
      <c r="A1" s="195">
        <f ca="1">TODAY()</f>
        <v>46065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35</v>
      </c>
      <c r="F18" s="210"/>
      <c r="G18" s="211">
        <f>E18-(E22/2)</f>
        <v>29.5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35</v>
      </c>
      <c r="F19" s="192"/>
      <c r="G19" s="194">
        <f>E19-(E22/2)</f>
        <v>29.5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35</v>
      </c>
      <c r="C29" s="178"/>
      <c r="D29" s="34">
        <v>0.3</v>
      </c>
      <c r="E29" s="35">
        <f>B29+D29</f>
        <v>35.299999999999997</v>
      </c>
      <c r="F29" s="177">
        <f>$E$19</f>
        <v>35</v>
      </c>
      <c r="G29" s="178"/>
      <c r="H29" s="34">
        <v>0.5</v>
      </c>
      <c r="I29" s="175">
        <f>F29+H29</f>
        <v>35.5</v>
      </c>
      <c r="J29" s="176"/>
      <c r="M29" s="179">
        <f>$E$18</f>
        <v>35</v>
      </c>
      <c r="N29" s="180"/>
      <c r="O29" s="36">
        <v>0.1</v>
      </c>
      <c r="P29" s="37">
        <f>M29+O29</f>
        <v>35.1</v>
      </c>
      <c r="Q29" s="179">
        <f>$E$19</f>
        <v>35</v>
      </c>
      <c r="R29" s="180"/>
      <c r="S29" s="36">
        <v>0.9</v>
      </c>
      <c r="T29" s="181">
        <f>Q29+S29</f>
        <v>35.9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0.1</v>
      </c>
      <c r="E31" s="40">
        <f>$E$20+D31</f>
        <v>30.1</v>
      </c>
      <c r="F31" s="167" t="s">
        <v>16</v>
      </c>
      <c r="G31" s="168"/>
      <c r="H31" s="34">
        <v>0.05</v>
      </c>
      <c r="I31" s="175">
        <f>$E$21+H31</f>
        <v>30.05</v>
      </c>
      <c r="J31" s="176"/>
      <c r="M31" s="166" t="s">
        <v>17</v>
      </c>
      <c r="N31" s="166"/>
      <c r="O31" s="39">
        <v>0.1</v>
      </c>
      <c r="P31" s="40">
        <f>$E$20+O31</f>
        <v>30.1</v>
      </c>
      <c r="Q31" s="167" t="s">
        <v>17</v>
      </c>
      <c r="R31" s="168"/>
      <c r="S31" s="34">
        <v>0</v>
      </c>
      <c r="T31" s="175">
        <f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1"/>
      <c r="F32" s="167" t="s">
        <v>18</v>
      </c>
      <c r="G32" s="168"/>
      <c r="H32" s="38"/>
      <c r="I32" s="167"/>
      <c r="J32" s="168"/>
      <c r="M32" s="166" t="s">
        <v>18</v>
      </c>
      <c r="N32" s="166"/>
      <c r="O32" s="41"/>
      <c r="P32" s="41"/>
      <c r="Q32" s="167" t="s">
        <v>18</v>
      </c>
      <c r="R32" s="168"/>
      <c r="S32" s="38"/>
      <c r="T32" s="167"/>
      <c r="U32" s="168"/>
    </row>
    <row r="33" spans="1:21" ht="15.75" x14ac:dyDescent="0.25">
      <c r="A33" s="23"/>
      <c r="B33" s="166" t="s">
        <v>18</v>
      </c>
      <c r="C33" s="166"/>
      <c r="D33" s="41"/>
      <c r="E33" s="41"/>
      <c r="F33" s="167" t="s">
        <v>18</v>
      </c>
      <c r="G33" s="168"/>
      <c r="H33" s="38"/>
      <c r="I33" s="167"/>
      <c r="J33" s="168"/>
      <c r="M33" s="166" t="s">
        <v>18</v>
      </c>
      <c r="N33" s="166"/>
      <c r="O33" s="41"/>
      <c r="P33" s="41"/>
      <c r="Q33" s="167" t="s">
        <v>18</v>
      </c>
      <c r="R33" s="168"/>
      <c r="S33" s="38"/>
      <c r="T33" s="167"/>
      <c r="U33" s="168"/>
    </row>
    <row r="34" spans="1:21" ht="15.75" x14ac:dyDescent="0.25">
      <c r="A34" s="23"/>
      <c r="B34" s="166" t="s">
        <v>19</v>
      </c>
      <c r="C34" s="166"/>
      <c r="D34" s="41"/>
      <c r="E34" s="41"/>
      <c r="F34" s="167" t="s">
        <v>18</v>
      </c>
      <c r="G34" s="168"/>
      <c r="H34" s="38"/>
      <c r="I34" s="167"/>
      <c r="J34" s="168"/>
      <c r="M34" s="166" t="s">
        <v>19</v>
      </c>
      <c r="N34" s="166"/>
      <c r="O34" s="41"/>
      <c r="P34" s="41"/>
      <c r="Q34" s="167" t="s">
        <v>18</v>
      </c>
      <c r="R34" s="168"/>
      <c r="S34" s="38"/>
      <c r="T34" s="167"/>
      <c r="U34" s="168"/>
    </row>
    <row r="35" spans="1:21" ht="15.75" x14ac:dyDescent="0.25">
      <c r="A35" s="23"/>
      <c r="B35" s="166" t="s">
        <v>18</v>
      </c>
      <c r="C35" s="166"/>
      <c r="D35" s="41"/>
      <c r="E35" s="41"/>
      <c r="F35" s="167" t="s">
        <v>18</v>
      </c>
      <c r="G35" s="168"/>
      <c r="H35" s="38"/>
      <c r="I35" s="167"/>
      <c r="J35" s="168"/>
      <c r="M35" s="166" t="s">
        <v>18</v>
      </c>
      <c r="N35" s="166"/>
      <c r="O35" s="41"/>
      <c r="P35" s="41"/>
      <c r="Q35" s="167" t="s">
        <v>18</v>
      </c>
      <c r="R35" s="168"/>
      <c r="S35" s="38"/>
      <c r="T35" s="167"/>
      <c r="U35" s="168"/>
    </row>
    <row r="36" spans="1:21" ht="15.75" x14ac:dyDescent="0.25">
      <c r="A36" s="23"/>
      <c r="B36" s="166" t="s">
        <v>18</v>
      </c>
      <c r="C36" s="166"/>
      <c r="D36" s="41"/>
      <c r="E36" s="41"/>
      <c r="F36" s="167" t="s">
        <v>18</v>
      </c>
      <c r="G36" s="168"/>
      <c r="H36" s="38"/>
      <c r="I36" s="167"/>
      <c r="J36" s="168"/>
      <c r="M36" s="166" t="s">
        <v>18</v>
      </c>
      <c r="N36" s="166"/>
      <c r="O36" s="41"/>
      <c r="P36" s="41"/>
      <c r="Q36" s="167" t="s">
        <v>18</v>
      </c>
      <c r="R36" s="168"/>
      <c r="S36" s="38"/>
      <c r="T36" s="167"/>
      <c r="U36" s="168"/>
    </row>
    <row r="37" spans="1:21" ht="15.75" x14ac:dyDescent="0.25">
      <c r="A37" s="23"/>
      <c r="B37" s="166" t="s">
        <v>18</v>
      </c>
      <c r="C37" s="166"/>
      <c r="D37" s="41"/>
      <c r="E37" s="41"/>
      <c r="F37" s="167" t="s">
        <v>18</v>
      </c>
      <c r="G37" s="168"/>
      <c r="H37" s="38"/>
      <c r="I37" s="167"/>
      <c r="J37" s="168"/>
      <c r="M37" s="166" t="s">
        <v>18</v>
      </c>
      <c r="N37" s="166"/>
      <c r="O37" s="41"/>
      <c r="P37" s="41"/>
      <c r="Q37" s="167" t="s">
        <v>18</v>
      </c>
      <c r="R37" s="168"/>
      <c r="S37" s="38"/>
      <c r="T37" s="167"/>
      <c r="U37" s="168"/>
    </row>
    <row r="38" spans="1:21" ht="15.75" x14ac:dyDescent="0.25">
      <c r="A38" s="23"/>
      <c r="B38" s="166" t="s">
        <v>18</v>
      </c>
      <c r="C38" s="166"/>
      <c r="D38" s="41"/>
      <c r="E38" s="41"/>
      <c r="F38" s="167" t="s">
        <v>18</v>
      </c>
      <c r="G38" s="168"/>
      <c r="H38" s="38"/>
      <c r="I38" s="167"/>
      <c r="J38" s="168"/>
      <c r="M38" s="166" t="s">
        <v>18</v>
      </c>
      <c r="N38" s="166"/>
      <c r="O38" s="41"/>
      <c r="P38" s="41"/>
      <c r="Q38" s="167" t="s">
        <v>18</v>
      </c>
      <c r="R38" s="168"/>
      <c r="S38" s="38"/>
      <c r="T38" s="167"/>
      <c r="U38" s="168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35</v>
      </c>
      <c r="C42" s="178"/>
      <c r="D42" s="34">
        <v>0</v>
      </c>
      <c r="E42" s="35">
        <f>B42+D42</f>
        <v>35</v>
      </c>
      <c r="F42" s="177">
        <f>$E$19</f>
        <v>35</v>
      </c>
      <c r="G42" s="178"/>
      <c r="H42" s="34">
        <v>0.4</v>
      </c>
      <c r="I42" s="175">
        <f>F42+H42</f>
        <v>35.4</v>
      </c>
      <c r="J42" s="176"/>
      <c r="M42" s="179">
        <f>$E$18</f>
        <v>35</v>
      </c>
      <c r="N42" s="180"/>
      <c r="O42" s="36">
        <v>0.1</v>
      </c>
      <c r="P42" s="37">
        <f>M42+O42</f>
        <v>35.1</v>
      </c>
      <c r="Q42" s="179">
        <f>$E$19</f>
        <v>35</v>
      </c>
      <c r="R42" s="180"/>
      <c r="S42" s="36">
        <v>0.1</v>
      </c>
      <c r="T42" s="181">
        <f>Q42+S42</f>
        <v>35.1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>
        <v>-0.05</v>
      </c>
      <c r="E44" s="40">
        <f>$E$20+D44</f>
        <v>29.95</v>
      </c>
      <c r="F44" s="167" t="s">
        <v>16</v>
      </c>
      <c r="G44" s="168"/>
      <c r="H44" s="34">
        <v>-0.1</v>
      </c>
      <c r="I44" s="175">
        <f>$E$21+H44</f>
        <v>29.9</v>
      </c>
      <c r="J44" s="176"/>
      <c r="M44" s="166" t="s">
        <v>17</v>
      </c>
      <c r="N44" s="166"/>
      <c r="O44" s="39">
        <v>-0.2</v>
      </c>
      <c r="P44" s="40">
        <f>$E$20+O44</f>
        <v>29.8</v>
      </c>
      <c r="Q44" s="167" t="s">
        <v>17</v>
      </c>
      <c r="R44" s="168"/>
      <c r="S44" s="34">
        <v>0.2</v>
      </c>
      <c r="T44" s="175">
        <f>$E$21+S44</f>
        <v>30.2</v>
      </c>
      <c r="U44" s="176"/>
    </row>
    <row r="45" spans="1:21" ht="15.75" x14ac:dyDescent="0.25">
      <c r="B45" s="166" t="s">
        <v>18</v>
      </c>
      <c r="C45" s="166"/>
      <c r="D45" s="41"/>
      <c r="E45" s="41"/>
      <c r="F45" s="167" t="s">
        <v>18</v>
      </c>
      <c r="G45" s="168"/>
      <c r="H45" s="38"/>
      <c r="I45" s="167"/>
      <c r="J45" s="168"/>
      <c r="M45" s="166" t="s">
        <v>18</v>
      </c>
      <c r="N45" s="166"/>
      <c r="O45" s="41"/>
      <c r="P45" s="41"/>
      <c r="Q45" s="167" t="s">
        <v>18</v>
      </c>
      <c r="R45" s="168"/>
      <c r="S45" s="38"/>
      <c r="T45" s="167"/>
      <c r="U45" s="168"/>
    </row>
    <row r="46" spans="1:21" ht="15.75" x14ac:dyDescent="0.25">
      <c r="B46" s="166" t="s">
        <v>18</v>
      </c>
      <c r="C46" s="166"/>
      <c r="D46" s="41"/>
      <c r="E46" s="41"/>
      <c r="F46" s="167" t="s">
        <v>18</v>
      </c>
      <c r="G46" s="168"/>
      <c r="H46" s="38"/>
      <c r="I46" s="167"/>
      <c r="J46" s="168"/>
      <c r="M46" s="166" t="s">
        <v>18</v>
      </c>
      <c r="N46" s="166"/>
      <c r="O46" s="41"/>
      <c r="P46" s="41"/>
      <c r="Q46" s="167" t="s">
        <v>18</v>
      </c>
      <c r="R46" s="168"/>
      <c r="S46" s="38"/>
      <c r="T46" s="167"/>
      <c r="U46" s="168"/>
    </row>
    <row r="47" spans="1:21" ht="15.75" x14ac:dyDescent="0.25">
      <c r="B47" s="166" t="s">
        <v>19</v>
      </c>
      <c r="C47" s="166"/>
      <c r="D47" s="41"/>
      <c r="E47" s="41"/>
      <c r="F47" s="167" t="s">
        <v>18</v>
      </c>
      <c r="G47" s="168"/>
      <c r="H47" s="38"/>
      <c r="I47" s="167"/>
      <c r="J47" s="168"/>
      <c r="M47" s="166" t="s">
        <v>19</v>
      </c>
      <c r="N47" s="166"/>
      <c r="O47" s="41"/>
      <c r="P47" s="41"/>
      <c r="Q47" s="167" t="s">
        <v>18</v>
      </c>
      <c r="R47" s="168"/>
      <c r="S47" s="38"/>
      <c r="T47" s="167"/>
      <c r="U47" s="168"/>
    </row>
    <row r="48" spans="1:21" ht="15.75" x14ac:dyDescent="0.25">
      <c r="B48" s="166" t="s">
        <v>18</v>
      </c>
      <c r="C48" s="166"/>
      <c r="D48" s="41"/>
      <c r="E48" s="41"/>
      <c r="F48" s="167" t="s">
        <v>18</v>
      </c>
      <c r="G48" s="168"/>
      <c r="H48" s="38"/>
      <c r="I48" s="167"/>
      <c r="J48" s="168"/>
      <c r="M48" s="166" t="s">
        <v>18</v>
      </c>
      <c r="N48" s="166"/>
      <c r="O48" s="41"/>
      <c r="P48" s="41"/>
      <c r="Q48" s="167" t="s">
        <v>18</v>
      </c>
      <c r="R48" s="168"/>
      <c r="S48" s="38"/>
      <c r="T48" s="167"/>
      <c r="U48" s="168"/>
    </row>
    <row r="49" spans="2:21" ht="15.75" x14ac:dyDescent="0.25">
      <c r="B49" s="166" t="s">
        <v>18</v>
      </c>
      <c r="C49" s="166"/>
      <c r="D49" s="41"/>
      <c r="E49" s="41"/>
      <c r="F49" s="167" t="s">
        <v>18</v>
      </c>
      <c r="G49" s="168"/>
      <c r="H49" s="38"/>
      <c r="I49" s="167"/>
      <c r="J49" s="168"/>
      <c r="M49" s="166" t="s">
        <v>18</v>
      </c>
      <c r="N49" s="166"/>
      <c r="O49" s="41"/>
      <c r="P49" s="41"/>
      <c r="Q49" s="167" t="s">
        <v>18</v>
      </c>
      <c r="R49" s="168"/>
      <c r="S49" s="38"/>
      <c r="T49" s="167"/>
      <c r="U49" s="168"/>
    </row>
    <row r="50" spans="2:21" ht="15.75" x14ac:dyDescent="0.25">
      <c r="B50" s="166" t="s">
        <v>18</v>
      </c>
      <c r="C50" s="166"/>
      <c r="D50" s="41"/>
      <c r="E50" s="41"/>
      <c r="F50" s="167" t="s">
        <v>18</v>
      </c>
      <c r="G50" s="168"/>
      <c r="H50" s="38"/>
      <c r="I50" s="167"/>
      <c r="J50" s="168"/>
      <c r="M50" s="166" t="s">
        <v>18</v>
      </c>
      <c r="N50" s="166"/>
      <c r="O50" s="41"/>
      <c r="P50" s="41"/>
      <c r="Q50" s="167" t="s">
        <v>18</v>
      </c>
      <c r="R50" s="168"/>
      <c r="S50" s="38"/>
      <c r="T50" s="167"/>
      <c r="U50" s="168"/>
    </row>
    <row r="51" spans="2:21" ht="15.75" x14ac:dyDescent="0.25">
      <c r="B51" s="166" t="s">
        <v>18</v>
      </c>
      <c r="C51" s="166"/>
      <c r="D51" s="41"/>
      <c r="E51" s="41"/>
      <c r="F51" s="167" t="s">
        <v>18</v>
      </c>
      <c r="G51" s="168"/>
      <c r="H51" s="38"/>
      <c r="I51" s="167"/>
      <c r="J51" s="168"/>
      <c r="M51" s="166" t="s">
        <v>18</v>
      </c>
      <c r="N51" s="166"/>
      <c r="O51" s="41"/>
      <c r="P51" s="41"/>
      <c r="Q51" s="167" t="s">
        <v>18</v>
      </c>
      <c r="R51" s="168"/>
      <c r="S51" s="38"/>
      <c r="T51" s="167"/>
      <c r="U51" s="168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35</v>
      </c>
      <c r="C55" s="178"/>
      <c r="D55" s="34">
        <v>0.5</v>
      </c>
      <c r="E55" s="35">
        <f>B55+D55</f>
        <v>35.5</v>
      </c>
      <c r="F55" s="177">
        <f>$E$19</f>
        <v>35</v>
      </c>
      <c r="G55" s="178"/>
      <c r="H55" s="34">
        <v>0.2</v>
      </c>
      <c r="I55" s="175">
        <f>F55+H55</f>
        <v>35.200000000000003</v>
      </c>
      <c r="J55" s="176"/>
      <c r="M55" s="179">
        <f>$E$18</f>
        <v>35</v>
      </c>
      <c r="N55" s="180"/>
      <c r="O55" s="36">
        <v>0.9</v>
      </c>
      <c r="P55" s="37">
        <f>M55+O55</f>
        <v>35.9</v>
      </c>
      <c r="Q55" s="179">
        <f>$E$19</f>
        <v>35</v>
      </c>
      <c r="R55" s="180"/>
      <c r="S55" s="36">
        <v>0.6</v>
      </c>
      <c r="T55" s="181">
        <f>Q55+S55</f>
        <v>35.6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>
        <v>0.1</v>
      </c>
      <c r="E57" s="40">
        <f>$E$20+D57</f>
        <v>30.1</v>
      </c>
      <c r="F57" s="167" t="s">
        <v>16</v>
      </c>
      <c r="G57" s="168"/>
      <c r="H57" s="34">
        <v>0.05</v>
      </c>
      <c r="I57" s="175">
        <f>$E$21+H57</f>
        <v>30.05</v>
      </c>
      <c r="J57" s="176"/>
      <c r="M57" s="166" t="s">
        <v>17</v>
      </c>
      <c r="N57" s="166"/>
      <c r="O57" s="39">
        <v>0.1</v>
      </c>
      <c r="P57" s="40">
        <f>$E$20+O57</f>
        <v>30.1</v>
      </c>
      <c r="Q57" s="167" t="s">
        <v>17</v>
      </c>
      <c r="R57" s="168"/>
      <c r="S57" s="34">
        <v>0.1</v>
      </c>
      <c r="T57" s="175">
        <f>$E$21+S57</f>
        <v>30.1</v>
      </c>
      <c r="U57" s="176"/>
    </row>
    <row r="58" spans="2:21" ht="15.75" x14ac:dyDescent="0.25">
      <c r="B58" s="166" t="s">
        <v>18</v>
      </c>
      <c r="C58" s="166"/>
      <c r="D58" s="41"/>
      <c r="E58" s="41"/>
      <c r="F58" s="167" t="s">
        <v>18</v>
      </c>
      <c r="G58" s="168"/>
      <c r="H58" s="38"/>
      <c r="I58" s="167"/>
      <c r="J58" s="168"/>
      <c r="M58" s="166" t="s">
        <v>18</v>
      </c>
      <c r="N58" s="166"/>
      <c r="O58" s="41"/>
      <c r="P58" s="41"/>
      <c r="Q58" s="167" t="s">
        <v>18</v>
      </c>
      <c r="R58" s="168"/>
      <c r="S58" s="38"/>
      <c r="T58" s="167"/>
      <c r="U58" s="168"/>
    </row>
    <row r="59" spans="2:21" ht="15.75" x14ac:dyDescent="0.25">
      <c r="B59" s="166" t="s">
        <v>18</v>
      </c>
      <c r="C59" s="166"/>
      <c r="D59" s="41"/>
      <c r="E59" s="41"/>
      <c r="F59" s="167" t="s">
        <v>18</v>
      </c>
      <c r="G59" s="168"/>
      <c r="H59" s="38"/>
      <c r="I59" s="167"/>
      <c r="J59" s="168"/>
      <c r="M59" s="166" t="s">
        <v>18</v>
      </c>
      <c r="N59" s="166"/>
      <c r="O59" s="41"/>
      <c r="P59" s="41"/>
      <c r="Q59" s="167" t="s">
        <v>18</v>
      </c>
      <c r="R59" s="168"/>
      <c r="S59" s="38"/>
      <c r="T59" s="167"/>
      <c r="U59" s="168"/>
    </row>
    <row r="60" spans="2:21" ht="15.75" x14ac:dyDescent="0.25">
      <c r="B60" s="166" t="s">
        <v>19</v>
      </c>
      <c r="C60" s="166"/>
      <c r="D60" s="41"/>
      <c r="E60" s="41"/>
      <c r="F60" s="167" t="s">
        <v>18</v>
      </c>
      <c r="G60" s="168"/>
      <c r="H60" s="38"/>
      <c r="I60" s="167"/>
      <c r="J60" s="168"/>
      <c r="M60" s="166" t="s">
        <v>19</v>
      </c>
      <c r="N60" s="166"/>
      <c r="O60" s="41"/>
      <c r="P60" s="41"/>
      <c r="Q60" s="167" t="s">
        <v>18</v>
      </c>
      <c r="R60" s="168"/>
      <c r="S60" s="38"/>
      <c r="T60" s="167"/>
      <c r="U60" s="168"/>
    </row>
    <row r="61" spans="2:21" ht="15.75" x14ac:dyDescent="0.25">
      <c r="B61" s="166" t="s">
        <v>18</v>
      </c>
      <c r="C61" s="166"/>
      <c r="D61" s="41"/>
      <c r="E61" s="41"/>
      <c r="F61" s="167" t="s">
        <v>18</v>
      </c>
      <c r="G61" s="168"/>
      <c r="H61" s="38"/>
      <c r="I61" s="167"/>
      <c r="J61" s="168"/>
      <c r="M61" s="166" t="s">
        <v>18</v>
      </c>
      <c r="N61" s="166"/>
      <c r="O61" s="41"/>
      <c r="P61" s="41"/>
      <c r="Q61" s="167" t="s">
        <v>18</v>
      </c>
      <c r="R61" s="168"/>
      <c r="S61" s="38"/>
      <c r="T61" s="167"/>
      <c r="U61" s="168"/>
    </row>
    <row r="62" spans="2:21" ht="15.75" x14ac:dyDescent="0.25">
      <c r="B62" s="166" t="s">
        <v>18</v>
      </c>
      <c r="C62" s="166"/>
      <c r="D62" s="41"/>
      <c r="E62" s="41"/>
      <c r="F62" s="167" t="s">
        <v>18</v>
      </c>
      <c r="G62" s="168"/>
      <c r="H62" s="38"/>
      <c r="I62" s="167"/>
      <c r="J62" s="168"/>
      <c r="M62" s="166" t="s">
        <v>18</v>
      </c>
      <c r="N62" s="166"/>
      <c r="O62" s="41"/>
      <c r="P62" s="41"/>
      <c r="Q62" s="167" t="s">
        <v>18</v>
      </c>
      <c r="R62" s="168"/>
      <c r="S62" s="38"/>
      <c r="T62" s="167"/>
      <c r="U62" s="168"/>
    </row>
    <row r="63" spans="2:21" ht="15.75" x14ac:dyDescent="0.25">
      <c r="B63" s="166" t="s">
        <v>18</v>
      </c>
      <c r="C63" s="166"/>
      <c r="D63" s="41"/>
      <c r="E63" s="41"/>
      <c r="F63" s="167" t="s">
        <v>18</v>
      </c>
      <c r="G63" s="168"/>
      <c r="H63" s="38"/>
      <c r="I63" s="167"/>
      <c r="J63" s="168"/>
      <c r="M63" s="166" t="s">
        <v>18</v>
      </c>
      <c r="N63" s="166"/>
      <c r="O63" s="41"/>
      <c r="P63" s="41"/>
      <c r="Q63" s="167" t="s">
        <v>18</v>
      </c>
      <c r="R63" s="168"/>
      <c r="S63" s="38"/>
      <c r="T63" s="167"/>
      <c r="U63" s="168"/>
    </row>
    <row r="64" spans="2:21" ht="15.75" x14ac:dyDescent="0.25">
      <c r="B64" s="166" t="s">
        <v>18</v>
      </c>
      <c r="C64" s="166"/>
      <c r="D64" s="41"/>
      <c r="E64" s="41"/>
      <c r="F64" s="167" t="s">
        <v>18</v>
      </c>
      <c r="G64" s="168"/>
      <c r="H64" s="38"/>
      <c r="I64" s="167"/>
      <c r="J64" s="168"/>
      <c r="M64" s="166" t="s">
        <v>18</v>
      </c>
      <c r="N64" s="166"/>
      <c r="O64" s="41"/>
      <c r="P64" s="41"/>
      <c r="Q64" s="167" t="s">
        <v>18</v>
      </c>
      <c r="R64" s="168"/>
      <c r="S64" s="38"/>
      <c r="T64" s="167"/>
      <c r="U64" s="168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E09C-1653-4B1B-8D3A-7D7770C5AE58}">
  <sheetPr>
    <tabColor rgb="FFFF0000"/>
  </sheetPr>
  <dimension ref="A1:BX46"/>
  <sheetViews>
    <sheetView workbookViewId="0">
      <pane ySplit="2" topLeftCell="A22" activePane="bottomLeft" state="frozen"/>
      <selection pane="bottomLeft" activeCell="O24" sqref="O24"/>
    </sheetView>
  </sheetViews>
  <sheetFormatPr defaultRowHeight="15" x14ac:dyDescent="0.25"/>
  <cols>
    <col min="1" max="1" width="39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95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" t="s">
        <v>212</v>
      </c>
      <c r="B3" s="4">
        <v>4476401006</v>
      </c>
      <c r="C3" s="50">
        <v>46204</v>
      </c>
      <c r="D3" s="4">
        <v>90036</v>
      </c>
      <c r="E3" s="4" t="s">
        <v>182</v>
      </c>
      <c r="F3" s="4" t="s">
        <v>110</v>
      </c>
      <c r="G3" s="4">
        <v>56979</v>
      </c>
      <c r="H3" s="4" t="s">
        <v>183</v>
      </c>
      <c r="I3" s="4" t="s">
        <v>120</v>
      </c>
      <c r="J3" s="4">
        <v>6</v>
      </c>
      <c r="K3" s="4">
        <v>10102</v>
      </c>
      <c r="L3" s="4"/>
      <c r="M3" s="4">
        <v>11</v>
      </c>
      <c r="N3" s="4">
        <v>28</v>
      </c>
      <c r="O3" s="4">
        <v>5</v>
      </c>
      <c r="P3" s="4">
        <v>11</v>
      </c>
      <c r="Q3" s="4" t="s">
        <v>213</v>
      </c>
      <c r="R3" s="4"/>
      <c r="S3" s="4">
        <v>45</v>
      </c>
      <c r="T3" s="46">
        <v>28</v>
      </c>
      <c r="U3" s="64">
        <v>38</v>
      </c>
      <c r="V3" s="46">
        <v>45</v>
      </c>
      <c r="W3" s="46" t="s">
        <v>214</v>
      </c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 t="s">
        <v>212</v>
      </c>
      <c r="B4" s="4">
        <v>4708701001</v>
      </c>
      <c r="C4" s="50">
        <v>46204</v>
      </c>
      <c r="D4" s="4">
        <v>92406</v>
      </c>
      <c r="E4" s="4" t="s">
        <v>197</v>
      </c>
      <c r="F4" s="4" t="s">
        <v>94</v>
      </c>
      <c r="G4" s="4">
        <v>56432</v>
      </c>
      <c r="H4" s="4" t="s">
        <v>202</v>
      </c>
      <c r="I4" s="4" t="s">
        <v>103</v>
      </c>
      <c r="J4" s="4">
        <v>1</v>
      </c>
      <c r="K4" s="4">
        <v>10106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3" customFormat="1" x14ac:dyDescent="0.25">
      <c r="A5" s="4" t="s">
        <v>215</v>
      </c>
      <c r="B5" s="4">
        <v>4708701002</v>
      </c>
      <c r="C5" s="50">
        <v>46204</v>
      </c>
      <c r="D5" s="4">
        <v>92406</v>
      </c>
      <c r="E5" s="4" t="s">
        <v>197</v>
      </c>
      <c r="F5" s="4" t="s">
        <v>94</v>
      </c>
      <c r="G5" s="4">
        <v>55877</v>
      </c>
      <c r="H5" s="4" t="s">
        <v>198</v>
      </c>
      <c r="I5" s="4" t="s">
        <v>103</v>
      </c>
      <c r="J5" s="4">
        <v>2</v>
      </c>
      <c r="K5" s="4">
        <v>10106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4" t="s">
        <v>215</v>
      </c>
      <c r="B6" s="4">
        <v>4693101001</v>
      </c>
      <c r="C6" s="50">
        <v>46204</v>
      </c>
      <c r="D6" s="4">
        <v>92943</v>
      </c>
      <c r="E6" s="4" t="s">
        <v>107</v>
      </c>
      <c r="F6" s="4" t="s">
        <v>108</v>
      </c>
      <c r="G6" s="4">
        <v>54998</v>
      </c>
      <c r="H6" s="4" t="s">
        <v>109</v>
      </c>
      <c r="I6" s="4" t="s">
        <v>103</v>
      </c>
      <c r="J6" s="4">
        <v>6</v>
      </c>
      <c r="K6" s="4">
        <v>10101</v>
      </c>
      <c r="U6" s="21"/>
    </row>
    <row r="7" spans="1:76" x14ac:dyDescent="0.25">
      <c r="A7" s="4" t="s">
        <v>215</v>
      </c>
      <c r="B7" s="4">
        <v>4693101009</v>
      </c>
      <c r="C7" s="50">
        <v>46204</v>
      </c>
      <c r="D7" s="4">
        <v>92943</v>
      </c>
      <c r="E7" s="4" t="s">
        <v>107</v>
      </c>
      <c r="F7" s="4" t="s">
        <v>110</v>
      </c>
      <c r="G7" s="4">
        <v>25045</v>
      </c>
      <c r="H7" s="4" t="s">
        <v>111</v>
      </c>
      <c r="I7" s="4" t="s">
        <v>103</v>
      </c>
      <c r="J7" s="4">
        <v>97</v>
      </c>
      <c r="K7" s="4">
        <v>10101</v>
      </c>
      <c r="U7" s="66"/>
      <c r="V7" s="5"/>
      <c r="W7" s="5"/>
    </row>
    <row r="8" spans="1:76" x14ac:dyDescent="0.25">
      <c r="A8" s="4" t="s">
        <v>212</v>
      </c>
      <c r="B8" s="4">
        <v>4710801007</v>
      </c>
      <c r="C8" s="50">
        <v>46204</v>
      </c>
      <c r="D8" s="4">
        <v>93611</v>
      </c>
      <c r="E8" s="4" t="s">
        <v>216</v>
      </c>
      <c r="F8" s="4" t="s">
        <v>217</v>
      </c>
      <c r="G8" s="4">
        <v>56107</v>
      </c>
      <c r="H8" s="4" t="s">
        <v>218</v>
      </c>
      <c r="I8" s="4" t="s">
        <v>99</v>
      </c>
      <c r="J8" s="4">
        <v>2</v>
      </c>
      <c r="K8" s="4">
        <v>10105</v>
      </c>
      <c r="U8" s="66"/>
      <c r="V8" s="5"/>
      <c r="W8" s="5"/>
    </row>
    <row r="9" spans="1:76" x14ac:dyDescent="0.25">
      <c r="A9" s="4" t="s">
        <v>215</v>
      </c>
      <c r="B9" s="4">
        <v>4706601002</v>
      </c>
      <c r="C9" s="50">
        <v>46204</v>
      </c>
      <c r="D9" s="4">
        <v>93969</v>
      </c>
      <c r="E9" s="4" t="s">
        <v>200</v>
      </c>
      <c r="F9" s="4" t="s">
        <v>94</v>
      </c>
      <c r="G9" s="4">
        <v>6968</v>
      </c>
      <c r="H9" s="4" t="s">
        <v>201</v>
      </c>
      <c r="I9" s="4" t="s">
        <v>127</v>
      </c>
      <c r="J9" s="4">
        <v>1</v>
      </c>
      <c r="K9" s="4">
        <v>10106</v>
      </c>
      <c r="U9" s="67"/>
    </row>
    <row r="10" spans="1:76" s="49" customFormat="1" x14ac:dyDescent="0.25">
      <c r="A10" s="46" t="s">
        <v>212</v>
      </c>
      <c r="B10" s="46">
        <v>4708501001</v>
      </c>
      <c r="C10" s="47">
        <v>46204</v>
      </c>
      <c r="D10" s="46">
        <v>94054</v>
      </c>
      <c r="E10" s="46" t="s">
        <v>191</v>
      </c>
      <c r="F10" s="46" t="s">
        <v>94</v>
      </c>
      <c r="G10" s="46">
        <v>57571</v>
      </c>
      <c r="H10" s="46" t="s">
        <v>192</v>
      </c>
      <c r="I10" s="46" t="s">
        <v>106</v>
      </c>
      <c r="J10" s="46">
        <v>1</v>
      </c>
      <c r="K10" s="46">
        <v>10105</v>
      </c>
      <c r="L10" s="46"/>
      <c r="M10" s="46"/>
      <c r="N10" s="46"/>
      <c r="O10" s="46"/>
      <c r="P10" s="46"/>
      <c r="Q10" s="46"/>
      <c r="R10" s="46"/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 t="s">
        <v>212</v>
      </c>
      <c r="B11" s="46">
        <v>4706701003</v>
      </c>
      <c r="C11" s="47">
        <v>46204</v>
      </c>
      <c r="D11" s="46">
        <v>94168</v>
      </c>
      <c r="E11" s="46" t="s">
        <v>219</v>
      </c>
      <c r="F11" s="46" t="s">
        <v>110</v>
      </c>
      <c r="G11" s="46">
        <v>57644</v>
      </c>
      <c r="H11" s="46" t="s">
        <v>220</v>
      </c>
      <c r="I11" s="46" t="s">
        <v>134</v>
      </c>
      <c r="J11" s="46">
        <v>1</v>
      </c>
      <c r="K11" s="46">
        <v>10106</v>
      </c>
      <c r="L11" s="46"/>
      <c r="M11" s="46"/>
      <c r="N11" s="46"/>
      <c r="O11" s="46"/>
      <c r="P11" s="46"/>
      <c r="Q11" s="46"/>
      <c r="R11" s="46"/>
      <c r="S11" s="46"/>
      <c r="T11" s="46"/>
      <c r="U11" s="64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x14ac:dyDescent="0.25">
      <c r="A12" s="4" t="s">
        <v>212</v>
      </c>
      <c r="B12" s="4">
        <v>4710601001</v>
      </c>
      <c r="C12" s="50">
        <v>46204</v>
      </c>
      <c r="D12" s="4">
        <v>94521</v>
      </c>
      <c r="E12" s="4" t="s">
        <v>195</v>
      </c>
      <c r="F12" s="4" t="s">
        <v>110</v>
      </c>
      <c r="G12" s="4">
        <v>57823</v>
      </c>
      <c r="H12" s="4" t="s">
        <v>196</v>
      </c>
      <c r="I12" s="4" t="s">
        <v>103</v>
      </c>
      <c r="J12" s="4">
        <v>1</v>
      </c>
      <c r="K12" s="4">
        <v>10104</v>
      </c>
      <c r="U12" s="21"/>
    </row>
    <row r="13" spans="1:76" s="49" customFormat="1" x14ac:dyDescent="0.25">
      <c r="A13" s="46" t="s">
        <v>221</v>
      </c>
      <c r="B13" s="46"/>
      <c r="C13" s="47">
        <v>46204</v>
      </c>
      <c r="D13" s="46">
        <v>94529</v>
      </c>
      <c r="E13" s="46" t="s">
        <v>222</v>
      </c>
      <c r="F13" s="46" t="s">
        <v>94</v>
      </c>
      <c r="G13" s="46">
        <v>57637</v>
      </c>
      <c r="H13" s="46" t="s">
        <v>146</v>
      </c>
      <c r="I13" s="46"/>
      <c r="J13" s="46">
        <v>7</v>
      </c>
      <c r="K13" s="46">
        <v>10101</v>
      </c>
      <c r="L13" s="46"/>
      <c r="M13" s="46">
        <v>5</v>
      </c>
      <c r="N13" s="46">
        <v>2</v>
      </c>
      <c r="O13" s="46"/>
      <c r="P13" s="46"/>
      <c r="Q13" s="46"/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 t="s">
        <v>221</v>
      </c>
      <c r="B14" s="46"/>
      <c r="C14" s="47">
        <v>46204</v>
      </c>
      <c r="D14" s="46">
        <v>94529</v>
      </c>
      <c r="E14" s="46" t="s">
        <v>222</v>
      </c>
      <c r="F14" s="46" t="s">
        <v>94</v>
      </c>
      <c r="G14" s="46">
        <v>57435</v>
      </c>
      <c r="H14" s="46" t="s">
        <v>147</v>
      </c>
      <c r="I14" s="46"/>
      <c r="J14" s="46">
        <v>8</v>
      </c>
      <c r="K14" s="46">
        <v>10101</v>
      </c>
      <c r="L14" s="46"/>
      <c r="M14" s="46"/>
      <c r="N14" s="46"/>
      <c r="O14" s="46"/>
      <c r="P14" s="46"/>
      <c r="Q14" s="46"/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/>
      <c r="C15" s="47">
        <v>46143</v>
      </c>
      <c r="D15" s="46">
        <v>94145</v>
      </c>
      <c r="E15" s="46" t="s">
        <v>143</v>
      </c>
      <c r="F15" s="96">
        <v>1000000</v>
      </c>
      <c r="G15" s="46">
        <v>57637</v>
      </c>
      <c r="H15" s="46" t="s">
        <v>146</v>
      </c>
      <c r="I15" s="46" t="s">
        <v>103</v>
      </c>
      <c r="J15" s="46">
        <v>7</v>
      </c>
      <c r="K15" s="46">
        <v>10101</v>
      </c>
      <c r="L15" s="46"/>
      <c r="M15" s="46">
        <v>25</v>
      </c>
      <c r="N15" s="46">
        <v>4</v>
      </c>
      <c r="O15" s="46">
        <v>9</v>
      </c>
      <c r="P15" s="46">
        <v>9</v>
      </c>
      <c r="Q15" s="46" t="s">
        <v>223</v>
      </c>
      <c r="R15" s="46"/>
      <c r="S15" s="46">
        <v>30</v>
      </c>
      <c r="T15" s="46">
        <v>11</v>
      </c>
      <c r="U15" s="64">
        <v>10</v>
      </c>
      <c r="V15" s="46">
        <v>10</v>
      </c>
      <c r="W15" s="46" t="s">
        <v>224</v>
      </c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90" customFormat="1" x14ac:dyDescent="0.25">
      <c r="A16" s="88" t="s">
        <v>225</v>
      </c>
      <c r="B16" s="88">
        <v>4711301001</v>
      </c>
      <c r="C16" s="89">
        <v>46266</v>
      </c>
      <c r="D16" s="88">
        <v>93530</v>
      </c>
      <c r="E16" s="88" t="s">
        <v>210</v>
      </c>
      <c r="F16" s="88" t="s">
        <v>110</v>
      </c>
      <c r="G16" s="88">
        <v>57325</v>
      </c>
      <c r="H16" s="88" t="s">
        <v>211</v>
      </c>
      <c r="I16" s="88" t="s">
        <v>120</v>
      </c>
      <c r="J16" s="88">
        <v>1</v>
      </c>
      <c r="K16" s="88">
        <v>10102</v>
      </c>
      <c r="L16" s="91">
        <v>0.4236111111111111</v>
      </c>
      <c r="M16" s="88"/>
      <c r="N16" s="88"/>
      <c r="O16" s="88">
        <v>50</v>
      </c>
      <c r="P16" s="88">
        <v>50</v>
      </c>
      <c r="Q16" s="88"/>
      <c r="R16" s="91">
        <v>0.42916666666666664</v>
      </c>
      <c r="S16" s="88"/>
      <c r="T16" s="88"/>
      <c r="U16" s="94">
        <v>52</v>
      </c>
      <c r="V16" s="88">
        <v>50</v>
      </c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</row>
    <row r="17" spans="1:76" s="90" customFormat="1" x14ac:dyDescent="0.25">
      <c r="A17" s="88" t="s">
        <v>225</v>
      </c>
      <c r="B17" s="88">
        <v>4711901001</v>
      </c>
      <c r="C17" s="88"/>
      <c r="D17" s="88">
        <v>93533</v>
      </c>
      <c r="E17" s="88" t="s">
        <v>210</v>
      </c>
      <c r="F17" s="88">
        <v>1</v>
      </c>
      <c r="G17" s="88">
        <v>57312</v>
      </c>
      <c r="H17" s="88" t="s">
        <v>226</v>
      </c>
      <c r="I17" s="88" t="s">
        <v>166</v>
      </c>
      <c r="J17" s="88"/>
      <c r="K17" s="88"/>
      <c r="L17" s="91">
        <v>0.45833333333333331</v>
      </c>
      <c r="M17" s="88">
        <v>18</v>
      </c>
      <c r="N17" s="88">
        <v>18</v>
      </c>
      <c r="O17" s="88">
        <v>22</v>
      </c>
      <c r="P17" s="88">
        <v>38</v>
      </c>
      <c r="Q17" s="88"/>
      <c r="R17" s="91">
        <v>0.47916666666666669</v>
      </c>
      <c r="S17" s="88">
        <v>13</v>
      </c>
      <c r="T17" s="88">
        <v>13</v>
      </c>
      <c r="U17" s="94">
        <v>27</v>
      </c>
      <c r="V17" s="88">
        <v>21</v>
      </c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</row>
    <row r="18" spans="1:76" s="49" customFormat="1" x14ac:dyDescent="0.25">
      <c r="A18" s="46"/>
      <c r="B18" s="46">
        <v>4710901003</v>
      </c>
      <c r="C18" s="46"/>
      <c r="D18" s="46">
        <v>93528</v>
      </c>
      <c r="E18" s="46" t="s">
        <v>210</v>
      </c>
      <c r="F18" s="46">
        <v>2</v>
      </c>
      <c r="G18" s="46">
        <v>53333</v>
      </c>
      <c r="H18" s="46" t="s">
        <v>227</v>
      </c>
      <c r="I18" s="46" t="s">
        <v>166</v>
      </c>
      <c r="J18" s="46"/>
      <c r="K18" s="46"/>
      <c r="L18" s="48">
        <v>0.44444444444444442</v>
      </c>
      <c r="M18" s="46">
        <v>50</v>
      </c>
      <c r="N18" s="46">
        <v>39</v>
      </c>
      <c r="O18" s="46">
        <v>35</v>
      </c>
      <c r="P18" s="46">
        <v>35</v>
      </c>
      <c r="Q18" s="46" t="s">
        <v>228</v>
      </c>
      <c r="R18" s="48">
        <v>0.44444444444444442</v>
      </c>
      <c r="S18" s="46">
        <v>29</v>
      </c>
      <c r="T18" s="46">
        <v>17</v>
      </c>
      <c r="U18" s="64">
        <v>28</v>
      </c>
      <c r="V18" s="46">
        <v>28</v>
      </c>
      <c r="W18" s="46" t="s">
        <v>229</v>
      </c>
      <c r="X18" s="48">
        <v>0.67361111111111116</v>
      </c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4712801001</v>
      </c>
      <c r="C19" s="47">
        <v>46235</v>
      </c>
      <c r="D19" s="46">
        <v>94530</v>
      </c>
      <c r="E19" s="46" t="s">
        <v>132</v>
      </c>
      <c r="F19" s="46" t="s">
        <v>94</v>
      </c>
      <c r="G19" s="46">
        <v>57827</v>
      </c>
      <c r="H19" s="46" t="s">
        <v>230</v>
      </c>
      <c r="I19" s="46" t="s">
        <v>134</v>
      </c>
      <c r="J19" s="46">
        <v>2</v>
      </c>
      <c r="K19" s="46">
        <v>10101</v>
      </c>
      <c r="L19" s="48">
        <v>0.53472222222222221</v>
      </c>
      <c r="M19" s="46">
        <v>34</v>
      </c>
      <c r="N19" s="46">
        <v>48</v>
      </c>
      <c r="O19" s="46">
        <v>48</v>
      </c>
      <c r="P19" s="46">
        <v>48</v>
      </c>
      <c r="Q19" s="46" t="s">
        <v>231</v>
      </c>
      <c r="R19" s="48">
        <v>0.71527777777777779</v>
      </c>
      <c r="S19" s="46"/>
      <c r="T19" s="46"/>
      <c r="U19" s="64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s="49" customFormat="1" x14ac:dyDescent="0.25">
      <c r="A20" s="46"/>
      <c r="B20" s="46">
        <v>4712101001</v>
      </c>
      <c r="C20" s="47">
        <v>46266</v>
      </c>
      <c r="D20" s="46">
        <v>94309</v>
      </c>
      <c r="E20" s="46" t="s">
        <v>232</v>
      </c>
      <c r="F20" s="46" t="s">
        <v>94</v>
      </c>
      <c r="G20" s="46">
        <v>57715</v>
      </c>
      <c r="H20" s="46" t="s">
        <v>233</v>
      </c>
      <c r="I20" s="46" t="s">
        <v>106</v>
      </c>
      <c r="J20" s="46">
        <v>1</v>
      </c>
      <c r="K20" s="46">
        <v>10106</v>
      </c>
      <c r="L20" s="48">
        <v>0.4861111111111111</v>
      </c>
      <c r="M20" s="46">
        <v>2</v>
      </c>
      <c r="N20" s="46">
        <v>2</v>
      </c>
      <c r="O20" s="46"/>
      <c r="P20" s="46"/>
      <c r="Q20" s="46" t="s">
        <v>234</v>
      </c>
      <c r="R20" s="46"/>
      <c r="S20" s="46"/>
      <c r="T20" s="46"/>
      <c r="U20" s="64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</row>
    <row r="21" spans="1:76" s="90" customFormat="1" x14ac:dyDescent="0.25">
      <c r="A21" s="88"/>
      <c r="B21" s="88">
        <v>4711301003</v>
      </c>
      <c r="C21" s="89">
        <v>46266</v>
      </c>
      <c r="D21" s="88">
        <v>93530</v>
      </c>
      <c r="E21" s="88" t="s">
        <v>210</v>
      </c>
      <c r="F21" s="88" t="s">
        <v>110</v>
      </c>
      <c r="G21" s="88">
        <v>57313</v>
      </c>
      <c r="H21" s="88" t="s">
        <v>235</v>
      </c>
      <c r="I21" s="88" t="s">
        <v>120</v>
      </c>
      <c r="J21" s="88">
        <v>3</v>
      </c>
      <c r="K21" s="88">
        <v>10102</v>
      </c>
      <c r="L21" s="91">
        <v>0.60138888888888886</v>
      </c>
      <c r="M21" s="88"/>
      <c r="N21" s="88"/>
      <c r="O21" s="88">
        <v>13</v>
      </c>
      <c r="P21" s="88"/>
      <c r="Q21" s="88"/>
      <c r="R21" s="88"/>
      <c r="S21" s="88"/>
      <c r="T21" s="88"/>
      <c r="U21" s="94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</row>
    <row r="22" spans="1:76" s="100" customFormat="1" x14ac:dyDescent="0.25">
      <c r="A22" s="97"/>
      <c r="B22" s="97">
        <v>4711301002</v>
      </c>
      <c r="C22" s="98">
        <v>46266</v>
      </c>
      <c r="D22" s="97">
        <v>93530</v>
      </c>
      <c r="E22" s="97" t="s">
        <v>210</v>
      </c>
      <c r="F22" s="97" t="s">
        <v>110</v>
      </c>
      <c r="G22" s="97">
        <v>57326</v>
      </c>
      <c r="H22" s="97" t="s">
        <v>236</v>
      </c>
      <c r="I22" s="97" t="s">
        <v>120</v>
      </c>
      <c r="J22" s="97">
        <v>2</v>
      </c>
      <c r="K22" s="97">
        <v>10102</v>
      </c>
      <c r="L22" s="97">
        <v>16</v>
      </c>
      <c r="M22" s="97">
        <v>2</v>
      </c>
      <c r="N22" s="97">
        <v>2</v>
      </c>
      <c r="O22" s="97">
        <f>P22</f>
        <v>4</v>
      </c>
      <c r="P22" s="97">
        <v>4</v>
      </c>
      <c r="Q22" s="97"/>
      <c r="R22" s="97">
        <v>16</v>
      </c>
      <c r="S22" s="97">
        <v>3</v>
      </c>
      <c r="T22" s="97">
        <v>2</v>
      </c>
      <c r="U22" s="99">
        <v>1</v>
      </c>
      <c r="V22" s="97">
        <f>U22</f>
        <v>1</v>
      </c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s="63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2"/>
      <c r="U31" s="68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</row>
    <row r="32" spans="1:76" s="61" customForma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0"/>
      <c r="U32" s="69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U45" s="21"/>
    </row>
    <row r="46" spans="1:21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0937-EB54-46FD-B9C4-5191D4A0F39E}">
  <sheetPr>
    <tabColor rgb="FFFFFF00"/>
  </sheetPr>
  <dimension ref="A1:U64"/>
  <sheetViews>
    <sheetView showGridLines="0" topLeftCell="A18" workbookViewId="0">
      <selection activeCell="S30" sqref="M30:U30"/>
    </sheetView>
  </sheetViews>
  <sheetFormatPr defaultRowHeight="15" x14ac:dyDescent="0.25"/>
  <sheetData>
    <row r="1" spans="1:21" x14ac:dyDescent="0.25">
      <c r="A1" s="195">
        <v>46204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0.75</v>
      </c>
      <c r="E29" s="35">
        <f>B29+D29</f>
        <v>30.75</v>
      </c>
      <c r="F29" s="177">
        <f>$E$19</f>
        <v>30</v>
      </c>
      <c r="G29" s="178"/>
      <c r="H29" s="34">
        <v>0.9</v>
      </c>
      <c r="I29" s="175">
        <f>F29+H29</f>
        <v>30.9</v>
      </c>
      <c r="J29" s="176"/>
      <c r="M29" s="179">
        <f>$E$18</f>
        <v>30</v>
      </c>
      <c r="N29" s="180"/>
      <c r="O29" s="36">
        <v>0.8</v>
      </c>
      <c r="P29" s="37">
        <f>M29+O29</f>
        <v>30.8</v>
      </c>
      <c r="Q29" s="179">
        <f>$E$19</f>
        <v>30</v>
      </c>
      <c r="R29" s="180"/>
      <c r="S29" s="36">
        <v>0.7</v>
      </c>
      <c r="T29" s="181">
        <f>Q29+S29</f>
        <v>30.7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 t="s">
        <v>237</v>
      </c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>$E$20+D31</f>
        <v>30</v>
      </c>
      <c r="F31" s="167" t="s">
        <v>16</v>
      </c>
      <c r="G31" s="168"/>
      <c r="H31" s="34">
        <v>0.1</v>
      </c>
      <c r="I31" s="175">
        <f>$E$21+H31</f>
        <v>30.1</v>
      </c>
      <c r="J31" s="176"/>
      <c r="M31" s="166" t="s">
        <v>17</v>
      </c>
      <c r="N31" s="166"/>
      <c r="O31" s="39">
        <v>0</v>
      </c>
      <c r="P31" s="40">
        <f>$E$20+O31</f>
        <v>30</v>
      </c>
      <c r="Q31" s="167" t="s">
        <v>17</v>
      </c>
      <c r="R31" s="168"/>
      <c r="S31" s="34">
        <v>0.1</v>
      </c>
      <c r="T31" s="175">
        <f>$E$21+S31</f>
        <v>30.1</v>
      </c>
      <c r="U31" s="176"/>
    </row>
    <row r="32" spans="1:21" ht="15.75" x14ac:dyDescent="0.25">
      <c r="A32" s="23"/>
      <c r="B32" s="166" t="s">
        <v>18</v>
      </c>
      <c r="C32" s="166"/>
      <c r="D32" s="41"/>
      <c r="E32" s="41"/>
      <c r="F32" s="167" t="s">
        <v>18</v>
      </c>
      <c r="G32" s="168"/>
      <c r="H32" s="38"/>
      <c r="I32" s="167"/>
      <c r="J32" s="168"/>
      <c r="M32" s="166" t="s">
        <v>18</v>
      </c>
      <c r="N32" s="166"/>
      <c r="O32" s="41"/>
      <c r="P32" s="41"/>
      <c r="Q32" s="167" t="s">
        <v>18</v>
      </c>
      <c r="R32" s="168"/>
      <c r="S32" s="38"/>
      <c r="T32" s="167"/>
      <c r="U32" s="168"/>
    </row>
    <row r="33" spans="1:21" ht="15.75" x14ac:dyDescent="0.25">
      <c r="A33" s="23"/>
      <c r="B33" s="166" t="s">
        <v>18</v>
      </c>
      <c r="C33" s="166"/>
      <c r="D33" s="41"/>
      <c r="E33" s="41"/>
      <c r="F33" s="167" t="s">
        <v>18</v>
      </c>
      <c r="G33" s="168"/>
      <c r="H33" s="38"/>
      <c r="I33" s="167"/>
      <c r="J33" s="168"/>
      <c r="M33" s="166" t="s">
        <v>18</v>
      </c>
      <c r="N33" s="166"/>
      <c r="O33" s="41"/>
      <c r="P33" s="41"/>
      <c r="Q33" s="167" t="s">
        <v>18</v>
      </c>
      <c r="R33" s="168"/>
      <c r="S33" s="38"/>
      <c r="T33" s="167"/>
      <c r="U33" s="168"/>
    </row>
    <row r="34" spans="1:21" ht="15.75" x14ac:dyDescent="0.25">
      <c r="A34" s="23"/>
      <c r="B34" s="166" t="s">
        <v>19</v>
      </c>
      <c r="C34" s="166"/>
      <c r="D34" s="41"/>
      <c r="E34" s="41"/>
      <c r="F34" s="167" t="s">
        <v>18</v>
      </c>
      <c r="G34" s="168"/>
      <c r="H34" s="38"/>
      <c r="I34" s="167"/>
      <c r="J34" s="168"/>
      <c r="M34" s="166" t="s">
        <v>19</v>
      </c>
      <c r="N34" s="166"/>
      <c r="O34" s="41"/>
      <c r="P34" s="41"/>
      <c r="Q34" s="167" t="s">
        <v>18</v>
      </c>
      <c r="R34" s="168"/>
      <c r="S34" s="38"/>
      <c r="T34" s="167"/>
      <c r="U34" s="168"/>
    </row>
    <row r="35" spans="1:21" ht="15.75" x14ac:dyDescent="0.25">
      <c r="A35" s="23"/>
      <c r="B35" s="166" t="s">
        <v>18</v>
      </c>
      <c r="C35" s="166"/>
      <c r="D35" s="41"/>
      <c r="E35" s="41"/>
      <c r="F35" s="167" t="s">
        <v>18</v>
      </c>
      <c r="G35" s="168"/>
      <c r="H35" s="38"/>
      <c r="I35" s="167"/>
      <c r="J35" s="168"/>
      <c r="M35" s="166" t="s">
        <v>18</v>
      </c>
      <c r="N35" s="166"/>
      <c r="O35" s="41"/>
      <c r="P35" s="41"/>
      <c r="Q35" s="167" t="s">
        <v>18</v>
      </c>
      <c r="R35" s="168"/>
      <c r="S35" s="38"/>
      <c r="T35" s="167"/>
      <c r="U35" s="168"/>
    </row>
    <row r="36" spans="1:21" ht="15.75" x14ac:dyDescent="0.25">
      <c r="A36" s="23"/>
      <c r="B36" s="166" t="s">
        <v>18</v>
      </c>
      <c r="C36" s="166"/>
      <c r="D36" s="41"/>
      <c r="E36" s="41"/>
      <c r="F36" s="167" t="s">
        <v>18</v>
      </c>
      <c r="G36" s="168"/>
      <c r="H36" s="38"/>
      <c r="I36" s="167"/>
      <c r="J36" s="168"/>
      <c r="M36" s="166" t="s">
        <v>18</v>
      </c>
      <c r="N36" s="166"/>
      <c r="O36" s="41"/>
      <c r="P36" s="41"/>
      <c r="Q36" s="167" t="s">
        <v>18</v>
      </c>
      <c r="R36" s="168"/>
      <c r="S36" s="38"/>
      <c r="T36" s="167"/>
      <c r="U36" s="168"/>
    </row>
    <row r="37" spans="1:21" ht="15.75" x14ac:dyDescent="0.25">
      <c r="A37" s="23"/>
      <c r="B37" s="166" t="s">
        <v>18</v>
      </c>
      <c r="C37" s="166"/>
      <c r="D37" s="41"/>
      <c r="E37" s="41"/>
      <c r="F37" s="167" t="s">
        <v>18</v>
      </c>
      <c r="G37" s="168"/>
      <c r="H37" s="38"/>
      <c r="I37" s="167"/>
      <c r="J37" s="168"/>
      <c r="M37" s="166" t="s">
        <v>18</v>
      </c>
      <c r="N37" s="166"/>
      <c r="O37" s="41"/>
      <c r="P37" s="41"/>
      <c r="Q37" s="167" t="s">
        <v>18</v>
      </c>
      <c r="R37" s="168"/>
      <c r="S37" s="38"/>
      <c r="T37" s="167"/>
      <c r="U37" s="168"/>
    </row>
    <row r="38" spans="1:21" ht="15.75" x14ac:dyDescent="0.25">
      <c r="A38" s="23"/>
      <c r="B38" s="166" t="s">
        <v>18</v>
      </c>
      <c r="C38" s="166"/>
      <c r="D38" s="41"/>
      <c r="E38" s="41"/>
      <c r="F38" s="167" t="s">
        <v>18</v>
      </c>
      <c r="G38" s="168"/>
      <c r="H38" s="38"/>
      <c r="I38" s="167"/>
      <c r="J38" s="168"/>
      <c r="M38" s="166" t="s">
        <v>18</v>
      </c>
      <c r="N38" s="166"/>
      <c r="O38" s="41"/>
      <c r="P38" s="41"/>
      <c r="Q38" s="167" t="s">
        <v>18</v>
      </c>
      <c r="R38" s="168"/>
      <c r="S38" s="38"/>
      <c r="T38" s="167"/>
      <c r="U38" s="168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>$E$20+D44</f>
        <v>30</v>
      </c>
      <c r="F44" s="167" t="s">
        <v>16</v>
      </c>
      <c r="G44" s="168"/>
      <c r="H44" s="34"/>
      <c r="I44" s="175">
        <f>$E$21+H44</f>
        <v>30</v>
      </c>
      <c r="J44" s="176"/>
      <c r="M44" s="166" t="s">
        <v>17</v>
      </c>
      <c r="N44" s="166"/>
      <c r="O44" s="39"/>
      <c r="P44" s="40">
        <f>$E$20+O44</f>
        <v>30</v>
      </c>
      <c r="Q44" s="167" t="s">
        <v>17</v>
      </c>
      <c r="R44" s="168"/>
      <c r="S44" s="34"/>
      <c r="T44" s="175">
        <f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1"/>
      <c r="F45" s="167" t="s">
        <v>18</v>
      </c>
      <c r="G45" s="168"/>
      <c r="H45" s="38"/>
      <c r="I45" s="167"/>
      <c r="J45" s="168"/>
      <c r="M45" s="166" t="s">
        <v>18</v>
      </c>
      <c r="N45" s="166"/>
      <c r="O45" s="41"/>
      <c r="P45" s="41"/>
      <c r="Q45" s="167" t="s">
        <v>18</v>
      </c>
      <c r="R45" s="168"/>
      <c r="S45" s="38"/>
      <c r="T45" s="167"/>
      <c r="U45" s="168"/>
    </row>
    <row r="46" spans="1:21" ht="15.75" x14ac:dyDescent="0.25">
      <c r="B46" s="166" t="s">
        <v>18</v>
      </c>
      <c r="C46" s="166"/>
      <c r="D46" s="41"/>
      <c r="E46" s="41"/>
      <c r="F46" s="167" t="s">
        <v>18</v>
      </c>
      <c r="G46" s="168"/>
      <c r="H46" s="38"/>
      <c r="I46" s="167"/>
      <c r="J46" s="168"/>
      <c r="M46" s="166" t="s">
        <v>18</v>
      </c>
      <c r="N46" s="166"/>
      <c r="O46" s="41"/>
      <c r="P46" s="41"/>
      <c r="Q46" s="167" t="s">
        <v>18</v>
      </c>
      <c r="R46" s="168"/>
      <c r="S46" s="38"/>
      <c r="T46" s="167"/>
      <c r="U46" s="168"/>
    </row>
    <row r="47" spans="1:21" ht="15.75" x14ac:dyDescent="0.25">
      <c r="B47" s="166" t="s">
        <v>19</v>
      </c>
      <c r="C47" s="166"/>
      <c r="D47" s="41"/>
      <c r="E47" s="41"/>
      <c r="F47" s="167" t="s">
        <v>18</v>
      </c>
      <c r="G47" s="168"/>
      <c r="H47" s="38"/>
      <c r="I47" s="167"/>
      <c r="J47" s="168"/>
      <c r="M47" s="166" t="s">
        <v>19</v>
      </c>
      <c r="N47" s="166"/>
      <c r="O47" s="41"/>
      <c r="P47" s="41"/>
      <c r="Q47" s="167" t="s">
        <v>18</v>
      </c>
      <c r="R47" s="168"/>
      <c r="S47" s="38"/>
      <c r="T47" s="167"/>
      <c r="U47" s="168"/>
    </row>
    <row r="48" spans="1:21" ht="15.75" x14ac:dyDescent="0.25">
      <c r="B48" s="166" t="s">
        <v>18</v>
      </c>
      <c r="C48" s="166"/>
      <c r="D48" s="41"/>
      <c r="E48" s="41"/>
      <c r="F48" s="167" t="s">
        <v>18</v>
      </c>
      <c r="G48" s="168"/>
      <c r="H48" s="38"/>
      <c r="I48" s="167"/>
      <c r="J48" s="168"/>
      <c r="M48" s="166" t="s">
        <v>18</v>
      </c>
      <c r="N48" s="166"/>
      <c r="O48" s="41"/>
      <c r="P48" s="41"/>
      <c r="Q48" s="167" t="s">
        <v>18</v>
      </c>
      <c r="R48" s="168"/>
      <c r="S48" s="38"/>
      <c r="T48" s="167"/>
      <c r="U48" s="168"/>
    </row>
    <row r="49" spans="2:21" ht="15.75" x14ac:dyDescent="0.25">
      <c r="B49" s="166" t="s">
        <v>18</v>
      </c>
      <c r="C49" s="166"/>
      <c r="D49" s="41"/>
      <c r="E49" s="41"/>
      <c r="F49" s="167" t="s">
        <v>18</v>
      </c>
      <c r="G49" s="168"/>
      <c r="H49" s="38"/>
      <c r="I49" s="167"/>
      <c r="J49" s="168"/>
      <c r="M49" s="166" t="s">
        <v>18</v>
      </c>
      <c r="N49" s="166"/>
      <c r="O49" s="41"/>
      <c r="P49" s="41"/>
      <c r="Q49" s="167" t="s">
        <v>18</v>
      </c>
      <c r="R49" s="168"/>
      <c r="S49" s="38"/>
      <c r="T49" s="167"/>
      <c r="U49" s="168"/>
    </row>
    <row r="50" spans="2:21" ht="15.75" x14ac:dyDescent="0.25">
      <c r="B50" s="166" t="s">
        <v>18</v>
      </c>
      <c r="C50" s="166"/>
      <c r="D50" s="41"/>
      <c r="E50" s="41"/>
      <c r="F50" s="167" t="s">
        <v>18</v>
      </c>
      <c r="G50" s="168"/>
      <c r="H50" s="38"/>
      <c r="I50" s="167"/>
      <c r="J50" s="168"/>
      <c r="M50" s="166" t="s">
        <v>18</v>
      </c>
      <c r="N50" s="166"/>
      <c r="O50" s="41"/>
      <c r="P50" s="41"/>
      <c r="Q50" s="167" t="s">
        <v>18</v>
      </c>
      <c r="R50" s="168"/>
      <c r="S50" s="38"/>
      <c r="T50" s="167"/>
      <c r="U50" s="168"/>
    </row>
    <row r="51" spans="2:21" ht="15.75" x14ac:dyDescent="0.25">
      <c r="B51" s="166" t="s">
        <v>18</v>
      </c>
      <c r="C51" s="166"/>
      <c r="D51" s="41"/>
      <c r="E51" s="41"/>
      <c r="F51" s="167" t="s">
        <v>18</v>
      </c>
      <c r="G51" s="168"/>
      <c r="H51" s="38"/>
      <c r="I51" s="167"/>
      <c r="J51" s="168"/>
      <c r="M51" s="166" t="s">
        <v>18</v>
      </c>
      <c r="N51" s="166"/>
      <c r="O51" s="41"/>
      <c r="P51" s="41"/>
      <c r="Q51" s="167" t="s">
        <v>18</v>
      </c>
      <c r="R51" s="168"/>
      <c r="S51" s="38"/>
      <c r="T51" s="167"/>
      <c r="U51" s="168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>$E$20+D57</f>
        <v>30</v>
      </c>
      <c r="F57" s="167" t="s">
        <v>16</v>
      </c>
      <c r="G57" s="168"/>
      <c r="H57" s="34"/>
      <c r="I57" s="175">
        <f>$E$21+H57</f>
        <v>30</v>
      </c>
      <c r="J57" s="176"/>
      <c r="M57" s="166" t="s">
        <v>17</v>
      </c>
      <c r="N57" s="166"/>
      <c r="O57" s="39"/>
      <c r="P57" s="40">
        <f>$E$20+O57</f>
        <v>30</v>
      </c>
      <c r="Q57" s="167" t="s">
        <v>17</v>
      </c>
      <c r="R57" s="168"/>
      <c r="S57" s="34"/>
      <c r="T57" s="175">
        <f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1"/>
      <c r="F58" s="167" t="s">
        <v>18</v>
      </c>
      <c r="G58" s="168"/>
      <c r="H58" s="38"/>
      <c r="I58" s="167"/>
      <c r="J58" s="168"/>
      <c r="M58" s="166" t="s">
        <v>18</v>
      </c>
      <c r="N58" s="166"/>
      <c r="O58" s="41"/>
      <c r="P58" s="41"/>
      <c r="Q58" s="167" t="s">
        <v>18</v>
      </c>
      <c r="R58" s="168"/>
      <c r="S58" s="38"/>
      <c r="T58" s="167"/>
      <c r="U58" s="168"/>
    </row>
    <row r="59" spans="2:21" ht="15.75" x14ac:dyDescent="0.25">
      <c r="B59" s="166" t="s">
        <v>18</v>
      </c>
      <c r="C59" s="166"/>
      <c r="D59" s="41"/>
      <c r="E59" s="41"/>
      <c r="F59" s="167" t="s">
        <v>18</v>
      </c>
      <c r="G59" s="168"/>
      <c r="H59" s="38"/>
      <c r="I59" s="167"/>
      <c r="J59" s="168"/>
      <c r="M59" s="166" t="s">
        <v>18</v>
      </c>
      <c r="N59" s="166"/>
      <c r="O59" s="41"/>
      <c r="P59" s="41"/>
      <c r="Q59" s="167" t="s">
        <v>18</v>
      </c>
      <c r="R59" s="168"/>
      <c r="S59" s="38"/>
      <c r="T59" s="167"/>
      <c r="U59" s="168"/>
    </row>
    <row r="60" spans="2:21" ht="15.75" x14ac:dyDescent="0.25">
      <c r="B60" s="166" t="s">
        <v>19</v>
      </c>
      <c r="C60" s="166"/>
      <c r="D60" s="41"/>
      <c r="E60" s="41"/>
      <c r="F60" s="167" t="s">
        <v>18</v>
      </c>
      <c r="G60" s="168"/>
      <c r="H60" s="38"/>
      <c r="I60" s="167"/>
      <c r="J60" s="168"/>
      <c r="M60" s="166" t="s">
        <v>19</v>
      </c>
      <c r="N60" s="166"/>
      <c r="O60" s="41"/>
      <c r="P60" s="41"/>
      <c r="Q60" s="167" t="s">
        <v>18</v>
      </c>
      <c r="R60" s="168"/>
      <c r="S60" s="38"/>
      <c r="T60" s="167"/>
      <c r="U60" s="168"/>
    </row>
    <row r="61" spans="2:21" ht="15.75" x14ac:dyDescent="0.25">
      <c r="B61" s="166" t="s">
        <v>18</v>
      </c>
      <c r="C61" s="166"/>
      <c r="D61" s="41"/>
      <c r="E61" s="41"/>
      <c r="F61" s="167" t="s">
        <v>18</v>
      </c>
      <c r="G61" s="168"/>
      <c r="H61" s="38"/>
      <c r="I61" s="167"/>
      <c r="J61" s="168"/>
      <c r="M61" s="166" t="s">
        <v>18</v>
      </c>
      <c r="N61" s="166"/>
      <c r="O61" s="41"/>
      <c r="P61" s="41"/>
      <c r="Q61" s="167" t="s">
        <v>18</v>
      </c>
      <c r="R61" s="168"/>
      <c r="S61" s="38"/>
      <c r="T61" s="167"/>
      <c r="U61" s="168"/>
    </row>
    <row r="62" spans="2:21" ht="15.75" x14ac:dyDescent="0.25">
      <c r="B62" s="166" t="s">
        <v>18</v>
      </c>
      <c r="C62" s="166"/>
      <c r="D62" s="41"/>
      <c r="E62" s="41"/>
      <c r="F62" s="167" t="s">
        <v>18</v>
      </c>
      <c r="G62" s="168"/>
      <c r="H62" s="38"/>
      <c r="I62" s="167"/>
      <c r="J62" s="168"/>
      <c r="M62" s="166" t="s">
        <v>18</v>
      </c>
      <c r="N62" s="166"/>
      <c r="O62" s="41"/>
      <c r="P62" s="41"/>
      <c r="Q62" s="167" t="s">
        <v>18</v>
      </c>
      <c r="R62" s="168"/>
      <c r="S62" s="38"/>
      <c r="T62" s="167"/>
      <c r="U62" s="168"/>
    </row>
    <row r="63" spans="2:21" ht="15.75" x14ac:dyDescent="0.25">
      <c r="B63" s="166" t="s">
        <v>18</v>
      </c>
      <c r="C63" s="166"/>
      <c r="D63" s="41"/>
      <c r="E63" s="41"/>
      <c r="F63" s="167" t="s">
        <v>18</v>
      </c>
      <c r="G63" s="168"/>
      <c r="H63" s="38"/>
      <c r="I63" s="167"/>
      <c r="J63" s="168"/>
      <c r="M63" s="166" t="s">
        <v>18</v>
      </c>
      <c r="N63" s="166"/>
      <c r="O63" s="41"/>
      <c r="P63" s="41"/>
      <c r="Q63" s="167" t="s">
        <v>18</v>
      </c>
      <c r="R63" s="168"/>
      <c r="S63" s="38"/>
      <c r="T63" s="167"/>
      <c r="U63" s="168"/>
    </row>
    <row r="64" spans="2:21" ht="15.75" x14ac:dyDescent="0.25">
      <c r="B64" s="166" t="s">
        <v>18</v>
      </c>
      <c r="C64" s="166"/>
      <c r="D64" s="41"/>
      <c r="E64" s="41"/>
      <c r="F64" s="167" t="s">
        <v>18</v>
      </c>
      <c r="G64" s="168"/>
      <c r="H64" s="38"/>
      <c r="I64" s="167"/>
      <c r="J64" s="168"/>
      <c r="M64" s="166" t="s">
        <v>18</v>
      </c>
      <c r="N64" s="166"/>
      <c r="O64" s="41"/>
      <c r="P64" s="41"/>
      <c r="Q64" s="167" t="s">
        <v>18</v>
      </c>
      <c r="R64" s="168"/>
      <c r="S64" s="38"/>
      <c r="T64" s="167"/>
      <c r="U64" s="168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952A-C604-4184-ACA7-52A92EF07D77}">
  <sheetPr>
    <tabColor rgb="FFFF0000"/>
  </sheetPr>
  <dimension ref="A1:BX39"/>
  <sheetViews>
    <sheetView workbookViewId="0">
      <pane ySplit="4" topLeftCell="A19" activePane="bottomLeft" state="frozen"/>
      <selection pane="bottomLeft" activeCell="F19" sqref="F19"/>
    </sheetView>
  </sheetViews>
  <sheetFormatPr defaultRowHeight="15" x14ac:dyDescent="0.25"/>
  <cols>
    <col min="1" max="1" width="32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53.2851562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88" t="s">
        <v>238</v>
      </c>
      <c r="B3" s="88">
        <v>4711301003</v>
      </c>
      <c r="C3" s="89">
        <v>46266</v>
      </c>
      <c r="D3" s="88">
        <v>93530</v>
      </c>
      <c r="E3" s="88" t="s">
        <v>210</v>
      </c>
      <c r="F3" s="88" t="s">
        <v>110</v>
      </c>
      <c r="G3" s="88">
        <v>57313</v>
      </c>
      <c r="H3" s="88" t="s">
        <v>235</v>
      </c>
      <c r="I3" s="88" t="s">
        <v>120</v>
      </c>
      <c r="J3" s="88">
        <v>3</v>
      </c>
      <c r="K3" s="88">
        <v>10102</v>
      </c>
      <c r="L3" s="91">
        <v>0.60138888888888886</v>
      </c>
      <c r="M3" s="88"/>
      <c r="N3" s="88"/>
      <c r="O3" s="88">
        <v>50</v>
      </c>
      <c r="P3" s="88">
        <v>50</v>
      </c>
      <c r="Q3" s="88"/>
      <c r="R3" s="91">
        <v>0.66666666666666663</v>
      </c>
      <c r="S3" s="88"/>
      <c r="T3" s="88"/>
      <c r="U3" s="94">
        <v>51</v>
      </c>
      <c r="V3" s="88">
        <v>50</v>
      </c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</row>
    <row r="4" spans="1:76" s="49" customFormat="1" x14ac:dyDescent="0.25">
      <c r="A4" s="46"/>
      <c r="B4" s="46">
        <v>4711301002</v>
      </c>
      <c r="C4" s="47">
        <v>46266</v>
      </c>
      <c r="D4" s="46">
        <v>93530</v>
      </c>
      <c r="E4" s="46" t="s">
        <v>210</v>
      </c>
      <c r="F4" s="46" t="s">
        <v>110</v>
      </c>
      <c r="G4" s="46">
        <v>57326</v>
      </c>
      <c r="H4" s="46" t="s">
        <v>236</v>
      </c>
      <c r="I4" s="46" t="s">
        <v>120</v>
      </c>
      <c r="J4" s="46">
        <v>2</v>
      </c>
      <c r="K4" s="46">
        <v>10102</v>
      </c>
      <c r="L4" s="46">
        <v>16</v>
      </c>
      <c r="M4" s="46">
        <v>2</v>
      </c>
      <c r="N4" s="46">
        <v>2</v>
      </c>
      <c r="O4" s="46">
        <f>P4</f>
        <v>4</v>
      </c>
      <c r="P4" s="46">
        <v>4</v>
      </c>
      <c r="Q4" s="46" t="s">
        <v>239</v>
      </c>
      <c r="R4" s="46">
        <v>16</v>
      </c>
      <c r="S4" s="46">
        <v>3</v>
      </c>
      <c r="T4" s="46">
        <v>2</v>
      </c>
      <c r="U4" s="64">
        <v>1</v>
      </c>
      <c r="V4" s="46">
        <f>U4</f>
        <v>1</v>
      </c>
      <c r="W4" s="46" t="s">
        <v>240</v>
      </c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49" customFormat="1" x14ac:dyDescent="0.25">
      <c r="A5" s="46"/>
      <c r="B5" s="46">
        <v>4714201001</v>
      </c>
      <c r="C5" s="47">
        <v>46266</v>
      </c>
      <c r="D5" s="46">
        <v>94537</v>
      </c>
      <c r="E5" s="46" t="s">
        <v>241</v>
      </c>
      <c r="F5" s="46" t="s">
        <v>242</v>
      </c>
      <c r="G5" s="46">
        <v>57806</v>
      </c>
      <c r="H5" s="46" t="s">
        <v>243</v>
      </c>
      <c r="I5" s="46" t="s">
        <v>120</v>
      </c>
      <c r="J5" s="46">
        <v>3</v>
      </c>
      <c r="K5" s="46">
        <v>10102</v>
      </c>
      <c r="L5" s="48">
        <v>0.34722222222222221</v>
      </c>
      <c r="M5" s="46">
        <v>10</v>
      </c>
      <c r="N5" s="46">
        <v>13</v>
      </c>
      <c r="O5" s="46">
        <v>28</v>
      </c>
      <c r="P5" s="46">
        <v>28</v>
      </c>
      <c r="Q5" s="46"/>
      <c r="R5" s="48">
        <v>0.39583333333333331</v>
      </c>
      <c r="S5" s="46"/>
      <c r="T5" s="46"/>
      <c r="U5" s="64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</row>
    <row r="6" spans="1:76" x14ac:dyDescent="0.25">
      <c r="B6" s="4">
        <v>4695101001</v>
      </c>
      <c r="C6" s="50">
        <v>46174</v>
      </c>
      <c r="D6" s="4">
        <v>93982</v>
      </c>
      <c r="E6" s="4" t="s">
        <v>130</v>
      </c>
      <c r="F6" s="4" t="s">
        <v>242</v>
      </c>
      <c r="G6" s="4">
        <v>52164</v>
      </c>
      <c r="H6" s="4" t="s">
        <v>189</v>
      </c>
      <c r="I6" s="4" t="s">
        <v>103</v>
      </c>
      <c r="J6" s="4">
        <v>1</v>
      </c>
      <c r="K6" s="4">
        <v>10104</v>
      </c>
      <c r="U6" s="21"/>
    </row>
    <row r="7" spans="1:76" x14ac:dyDescent="0.25">
      <c r="B7" s="4">
        <v>4695101002</v>
      </c>
      <c r="C7" s="50">
        <v>46174</v>
      </c>
      <c r="D7" s="4">
        <v>93982</v>
      </c>
      <c r="E7" s="4" t="s">
        <v>130</v>
      </c>
      <c r="F7" s="4" t="s">
        <v>242</v>
      </c>
      <c r="G7" s="4">
        <v>52165</v>
      </c>
      <c r="H7" s="4" t="s">
        <v>190</v>
      </c>
      <c r="I7" s="4" t="s">
        <v>103</v>
      </c>
      <c r="J7" s="4">
        <v>18</v>
      </c>
      <c r="K7" s="4">
        <v>10104</v>
      </c>
      <c r="U7" s="66"/>
      <c r="V7" s="5"/>
      <c r="W7" s="5"/>
    </row>
    <row r="8" spans="1:76" x14ac:dyDescent="0.25">
      <c r="B8" s="4">
        <v>4695101023</v>
      </c>
      <c r="C8" s="50">
        <v>46174</v>
      </c>
      <c r="D8" s="4">
        <v>93982</v>
      </c>
      <c r="E8" s="4" t="s">
        <v>130</v>
      </c>
      <c r="F8" s="4" t="s">
        <v>242</v>
      </c>
      <c r="G8" s="4">
        <v>57604</v>
      </c>
      <c r="H8" s="4" t="s">
        <v>131</v>
      </c>
      <c r="I8" s="4" t="s">
        <v>103</v>
      </c>
      <c r="J8" s="4">
        <v>20</v>
      </c>
      <c r="K8" s="4">
        <v>10104</v>
      </c>
      <c r="U8" s="66"/>
      <c r="V8" s="5"/>
      <c r="W8" s="5"/>
    </row>
    <row r="9" spans="1:76" x14ac:dyDescent="0.25">
      <c r="B9" s="4">
        <v>4599701026</v>
      </c>
      <c r="C9" s="50">
        <v>46204</v>
      </c>
      <c r="D9" s="4">
        <v>93145</v>
      </c>
      <c r="E9" s="4" t="s">
        <v>185</v>
      </c>
      <c r="F9" s="4" t="s">
        <v>242</v>
      </c>
      <c r="G9" s="4">
        <v>57530</v>
      </c>
      <c r="H9" s="4" t="s">
        <v>186</v>
      </c>
      <c r="J9" s="4">
        <v>27</v>
      </c>
      <c r="K9" s="4">
        <v>10101</v>
      </c>
      <c r="U9" s="67"/>
    </row>
    <row r="10" spans="1:76" x14ac:dyDescent="0.25">
      <c r="B10" s="4">
        <v>4599701027</v>
      </c>
      <c r="C10" s="50">
        <v>46204</v>
      </c>
      <c r="D10" s="4">
        <v>93145</v>
      </c>
      <c r="E10" s="4" t="s">
        <v>185</v>
      </c>
      <c r="F10" s="4" t="s">
        <v>242</v>
      </c>
      <c r="G10" s="4">
        <v>57527</v>
      </c>
      <c r="H10" s="4" t="s">
        <v>187</v>
      </c>
      <c r="J10" s="4">
        <v>28</v>
      </c>
      <c r="K10" s="4">
        <v>10101</v>
      </c>
      <c r="U10" s="21"/>
    </row>
    <row r="11" spans="1:76" x14ac:dyDescent="0.25">
      <c r="B11" s="4">
        <v>4599701028</v>
      </c>
      <c r="C11" s="50">
        <v>46204</v>
      </c>
      <c r="D11" s="4">
        <v>93145</v>
      </c>
      <c r="E11" s="4" t="s">
        <v>185</v>
      </c>
      <c r="F11" s="4" t="s">
        <v>242</v>
      </c>
      <c r="G11" s="4">
        <v>45391</v>
      </c>
      <c r="H11" s="4" t="s">
        <v>188</v>
      </c>
      <c r="J11" s="4">
        <v>29</v>
      </c>
      <c r="K11" s="4">
        <v>10101</v>
      </c>
      <c r="U11" s="21"/>
    </row>
    <row r="12" spans="1:76" s="49" customFormat="1" x14ac:dyDescent="0.25">
      <c r="A12" s="46"/>
      <c r="B12" s="46">
        <v>4710901002</v>
      </c>
      <c r="C12" s="46"/>
      <c r="D12" s="46">
        <v>93528</v>
      </c>
      <c r="E12" s="46" t="s">
        <v>210</v>
      </c>
      <c r="F12" s="46">
        <v>4</v>
      </c>
      <c r="G12" s="46">
        <v>50460</v>
      </c>
      <c r="H12" s="46" t="s">
        <v>244</v>
      </c>
      <c r="I12" s="46"/>
      <c r="J12" s="46"/>
      <c r="K12" s="46"/>
      <c r="L12" s="48">
        <v>0.39583333333333331</v>
      </c>
      <c r="M12" s="46">
        <v>42</v>
      </c>
      <c r="N12" s="46">
        <v>27</v>
      </c>
      <c r="O12" s="46">
        <v>40</v>
      </c>
      <c r="P12" s="46">
        <v>40</v>
      </c>
      <c r="Q12" s="46" t="s">
        <v>245</v>
      </c>
      <c r="R12" s="46"/>
      <c r="S12" s="46">
        <v>50</v>
      </c>
      <c r="T12" s="46">
        <v>38</v>
      </c>
      <c r="U12" s="64">
        <v>35</v>
      </c>
      <c r="V12" s="46">
        <v>35</v>
      </c>
      <c r="W12" s="46" t="s">
        <v>246</v>
      </c>
      <c r="X12" s="46"/>
      <c r="Y12" s="46">
        <v>53</v>
      </c>
      <c r="Z12" s="46">
        <v>25</v>
      </c>
      <c r="AA12" s="46">
        <v>50</v>
      </c>
      <c r="AB12" s="46">
        <v>50</v>
      </c>
      <c r="AC12" s="46" t="s">
        <v>247</v>
      </c>
      <c r="AD12" s="46"/>
      <c r="AE12" s="46">
        <v>18</v>
      </c>
      <c r="AF12" s="46">
        <v>44</v>
      </c>
      <c r="AG12" s="46">
        <v>39</v>
      </c>
      <c r="AH12" s="46">
        <v>39</v>
      </c>
      <c r="AI12" s="46" t="s">
        <v>248</v>
      </c>
      <c r="AJ12" s="48">
        <v>0.45833333333333331</v>
      </c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4714301002</v>
      </c>
      <c r="C13" s="46" t="s">
        <v>249</v>
      </c>
      <c r="D13" s="46">
        <v>93164</v>
      </c>
      <c r="E13" s="46" t="s">
        <v>197</v>
      </c>
      <c r="F13" s="46" t="s">
        <v>242</v>
      </c>
      <c r="G13" s="46">
        <v>56430</v>
      </c>
      <c r="H13" s="46" t="s">
        <v>250</v>
      </c>
      <c r="I13" s="46" t="s">
        <v>103</v>
      </c>
      <c r="J13" s="46">
        <v>2</v>
      </c>
      <c r="K13" s="46">
        <v>10106</v>
      </c>
      <c r="L13" s="48">
        <v>0.73611111111111116</v>
      </c>
      <c r="M13" s="46">
        <v>49</v>
      </c>
      <c r="N13" s="46">
        <v>45</v>
      </c>
      <c r="O13" s="46"/>
      <c r="P13" s="46"/>
      <c r="Q13" s="46" t="s">
        <v>251</v>
      </c>
      <c r="R13" s="48">
        <v>0.54722222222222228</v>
      </c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90" customFormat="1" x14ac:dyDescent="0.25">
      <c r="A14" s="88" t="s">
        <v>238</v>
      </c>
      <c r="B14" s="88">
        <v>4710901001</v>
      </c>
      <c r="C14" s="89">
        <v>46266</v>
      </c>
      <c r="D14" s="88">
        <v>93528</v>
      </c>
      <c r="E14" s="88" t="s">
        <v>210</v>
      </c>
      <c r="F14" s="88" t="s">
        <v>252</v>
      </c>
      <c r="G14" s="88">
        <v>57313</v>
      </c>
      <c r="H14" s="88" t="s">
        <v>235</v>
      </c>
      <c r="I14" s="88" t="s">
        <v>120</v>
      </c>
      <c r="J14" s="88">
        <v>1</v>
      </c>
      <c r="K14" s="88">
        <v>10102</v>
      </c>
      <c r="L14" s="91">
        <v>0.41666666666666669</v>
      </c>
      <c r="M14" s="88"/>
      <c r="N14" s="88"/>
      <c r="O14" s="88">
        <v>38</v>
      </c>
      <c r="P14" s="88">
        <v>50</v>
      </c>
      <c r="Q14" s="88"/>
      <c r="R14" s="91">
        <v>0.57986111111111116</v>
      </c>
      <c r="S14" s="88"/>
      <c r="T14" s="88"/>
      <c r="U14" s="94">
        <v>50</v>
      </c>
      <c r="V14" s="88">
        <v>50</v>
      </c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</row>
    <row r="15" spans="1:76" s="49" customFormat="1" x14ac:dyDescent="0.25">
      <c r="A15" s="46"/>
      <c r="B15" s="46">
        <v>4712401002</v>
      </c>
      <c r="C15" s="46"/>
      <c r="D15" s="46">
        <v>94328</v>
      </c>
      <c r="E15" s="46" t="s">
        <v>253</v>
      </c>
      <c r="F15" s="46"/>
      <c r="G15" s="46">
        <v>49522</v>
      </c>
      <c r="H15" s="46" t="s">
        <v>254</v>
      </c>
      <c r="I15" s="46" t="s">
        <v>166</v>
      </c>
      <c r="J15" s="46"/>
      <c r="K15" s="46"/>
      <c r="L15" s="48">
        <v>0.40972222222222221</v>
      </c>
      <c r="M15" s="46">
        <v>50</v>
      </c>
      <c r="N15" s="46">
        <v>50</v>
      </c>
      <c r="O15" s="46"/>
      <c r="P15" s="46"/>
      <c r="Q15" s="46" t="s">
        <v>255</v>
      </c>
      <c r="R15" s="48">
        <v>0.63541666666666663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4715001002</v>
      </c>
      <c r="C16" s="46"/>
      <c r="D16" s="46">
        <v>94347</v>
      </c>
      <c r="E16" s="46" t="s">
        <v>256</v>
      </c>
      <c r="F16" s="46">
        <v>1</v>
      </c>
      <c r="G16" s="46">
        <v>57721</v>
      </c>
      <c r="H16" s="46" t="s">
        <v>257</v>
      </c>
      <c r="I16" s="46"/>
      <c r="J16" s="46"/>
      <c r="K16" s="46"/>
      <c r="L16" s="48">
        <v>0.42499999999999999</v>
      </c>
      <c r="M16" s="46">
        <v>28</v>
      </c>
      <c r="N16" s="46">
        <v>10</v>
      </c>
      <c r="O16" s="46"/>
      <c r="P16" s="46"/>
      <c r="Q16" s="46"/>
      <c r="R16" s="48">
        <v>0.74305555555555558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s="63" customForma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62"/>
      <c r="U24" s="68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</row>
    <row r="25" spans="1:76" s="61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0"/>
      <c r="U25" s="69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B8F1-F4E1-402E-95DB-496C93820497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195">
        <v>46235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52.5</v>
      </c>
      <c r="F18" s="210"/>
      <c r="G18" s="211">
        <f>E18-(E22/2)</f>
        <v>42.5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52.2</v>
      </c>
      <c r="F19" s="192"/>
      <c r="G19" s="194">
        <f>E19-(E22/2)</f>
        <v>42.2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52.5</v>
      </c>
      <c r="F20" s="192"/>
      <c r="G20" s="194">
        <f>E20-(E22/2)</f>
        <v>42.5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/>
      <c r="F21" s="192"/>
      <c r="G21" s="194">
        <f>E21-(E22/2)</f>
        <v>-10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20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52.5</v>
      </c>
      <c r="C29" s="178"/>
      <c r="D29" s="34">
        <v>0.5</v>
      </c>
      <c r="E29" s="35">
        <f>B29+D29</f>
        <v>53</v>
      </c>
      <c r="F29" s="177">
        <f>$E$19</f>
        <v>52.2</v>
      </c>
      <c r="G29" s="178"/>
      <c r="H29" s="34">
        <v>0.5</v>
      </c>
      <c r="I29" s="175">
        <f>F29+H29</f>
        <v>52.7</v>
      </c>
      <c r="J29" s="176"/>
      <c r="M29" s="179">
        <f>$E$18</f>
        <v>52.5</v>
      </c>
      <c r="N29" s="180"/>
      <c r="O29" s="36">
        <v>0</v>
      </c>
      <c r="P29" s="37">
        <f>M29+O29</f>
        <v>52.5</v>
      </c>
      <c r="Q29" s="179">
        <f>$E$19</f>
        <v>52.2</v>
      </c>
      <c r="R29" s="180"/>
      <c r="S29" s="36">
        <v>0.7</v>
      </c>
      <c r="T29" s="181">
        <f>Q29+S29</f>
        <v>52.900000000000006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52.5</v>
      </c>
      <c r="F31" s="167" t="s">
        <v>16</v>
      </c>
      <c r="G31" s="168"/>
      <c r="H31" s="34">
        <v>0</v>
      </c>
      <c r="I31" s="175">
        <f t="shared" ref="I31:I38" si="1">$E$21+H31</f>
        <v>0</v>
      </c>
      <c r="J31" s="176"/>
      <c r="M31" s="166" t="s">
        <v>17</v>
      </c>
      <c r="N31" s="166"/>
      <c r="O31" s="39">
        <v>0.1</v>
      </c>
      <c r="P31" s="40">
        <f t="shared" ref="P31:P38" si="2">$E$20+O31</f>
        <v>52.6</v>
      </c>
      <c r="Q31" s="167" t="s">
        <v>17</v>
      </c>
      <c r="R31" s="168"/>
      <c r="S31" s="34">
        <v>0.1</v>
      </c>
      <c r="T31" s="175">
        <f t="shared" ref="T31:T38" si="3">$E$21+S31</f>
        <v>0.1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52.5</v>
      </c>
      <c r="F32" s="167" t="s">
        <v>18</v>
      </c>
      <c r="G32" s="168"/>
      <c r="H32" s="38"/>
      <c r="I32" s="175">
        <f t="shared" si="1"/>
        <v>0</v>
      </c>
      <c r="J32" s="176"/>
      <c r="M32" s="166" t="s">
        <v>18</v>
      </c>
      <c r="N32" s="166"/>
      <c r="O32" s="41"/>
      <c r="P32" s="40">
        <f t="shared" si="2"/>
        <v>52.5</v>
      </c>
      <c r="Q32" s="167" t="s">
        <v>18</v>
      </c>
      <c r="R32" s="168"/>
      <c r="S32" s="38"/>
      <c r="T32" s="175">
        <f t="shared" si="3"/>
        <v>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52.5</v>
      </c>
      <c r="F33" s="167" t="s">
        <v>18</v>
      </c>
      <c r="G33" s="168"/>
      <c r="H33" s="38"/>
      <c r="I33" s="175">
        <f t="shared" si="1"/>
        <v>0</v>
      </c>
      <c r="J33" s="176"/>
      <c r="M33" s="166" t="s">
        <v>18</v>
      </c>
      <c r="N33" s="166"/>
      <c r="O33" s="41"/>
      <c r="P33" s="40">
        <f t="shared" si="2"/>
        <v>52.5</v>
      </c>
      <c r="Q33" s="167" t="s">
        <v>18</v>
      </c>
      <c r="R33" s="168"/>
      <c r="S33" s="38"/>
      <c r="T33" s="175">
        <f t="shared" si="3"/>
        <v>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52.5</v>
      </c>
      <c r="F34" s="167" t="s">
        <v>18</v>
      </c>
      <c r="G34" s="168"/>
      <c r="H34" s="38"/>
      <c r="I34" s="175">
        <f t="shared" si="1"/>
        <v>0</v>
      </c>
      <c r="J34" s="176"/>
      <c r="M34" s="166" t="s">
        <v>19</v>
      </c>
      <c r="N34" s="166"/>
      <c r="O34" s="41"/>
      <c r="P34" s="40">
        <f t="shared" si="2"/>
        <v>52.5</v>
      </c>
      <c r="Q34" s="167" t="s">
        <v>18</v>
      </c>
      <c r="R34" s="168"/>
      <c r="S34" s="38"/>
      <c r="T34" s="175">
        <f t="shared" si="3"/>
        <v>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52.5</v>
      </c>
      <c r="F35" s="167" t="s">
        <v>18</v>
      </c>
      <c r="G35" s="168"/>
      <c r="H35" s="38"/>
      <c r="I35" s="175">
        <f t="shared" si="1"/>
        <v>0</v>
      </c>
      <c r="J35" s="176"/>
      <c r="M35" s="166" t="s">
        <v>18</v>
      </c>
      <c r="N35" s="166"/>
      <c r="O35" s="41"/>
      <c r="P35" s="40">
        <f t="shared" si="2"/>
        <v>52.5</v>
      </c>
      <c r="Q35" s="167" t="s">
        <v>18</v>
      </c>
      <c r="R35" s="168"/>
      <c r="S35" s="38"/>
      <c r="T35" s="175">
        <f t="shared" si="3"/>
        <v>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52.5</v>
      </c>
      <c r="F36" s="167" t="s">
        <v>18</v>
      </c>
      <c r="G36" s="168"/>
      <c r="H36" s="38"/>
      <c r="I36" s="175">
        <f t="shared" si="1"/>
        <v>0</v>
      </c>
      <c r="J36" s="176"/>
      <c r="M36" s="166" t="s">
        <v>18</v>
      </c>
      <c r="N36" s="166"/>
      <c r="O36" s="41"/>
      <c r="P36" s="40">
        <f t="shared" si="2"/>
        <v>52.5</v>
      </c>
      <c r="Q36" s="167" t="s">
        <v>18</v>
      </c>
      <c r="R36" s="168"/>
      <c r="S36" s="38"/>
      <c r="T36" s="175">
        <f t="shared" si="3"/>
        <v>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52.5</v>
      </c>
      <c r="F37" s="167" t="s">
        <v>18</v>
      </c>
      <c r="G37" s="168"/>
      <c r="H37" s="38"/>
      <c r="I37" s="175">
        <f t="shared" si="1"/>
        <v>0</v>
      </c>
      <c r="J37" s="176"/>
      <c r="M37" s="166" t="s">
        <v>18</v>
      </c>
      <c r="N37" s="166"/>
      <c r="O37" s="41"/>
      <c r="P37" s="40">
        <f t="shared" si="2"/>
        <v>52.5</v>
      </c>
      <c r="Q37" s="167" t="s">
        <v>18</v>
      </c>
      <c r="R37" s="168"/>
      <c r="S37" s="38"/>
      <c r="T37" s="175">
        <f t="shared" si="3"/>
        <v>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52.5</v>
      </c>
      <c r="F38" s="167" t="s">
        <v>18</v>
      </c>
      <c r="G38" s="168"/>
      <c r="H38" s="38"/>
      <c r="I38" s="175">
        <f t="shared" si="1"/>
        <v>0</v>
      </c>
      <c r="J38" s="176"/>
      <c r="M38" s="166" t="s">
        <v>18</v>
      </c>
      <c r="N38" s="166"/>
      <c r="O38" s="41"/>
      <c r="P38" s="40">
        <f t="shared" si="2"/>
        <v>52.5</v>
      </c>
      <c r="Q38" s="167" t="s">
        <v>18</v>
      </c>
      <c r="R38" s="168"/>
      <c r="S38" s="38"/>
      <c r="T38" s="175">
        <f t="shared" si="3"/>
        <v>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52.5</v>
      </c>
      <c r="C42" s="178"/>
      <c r="D42" s="34"/>
      <c r="E42" s="35">
        <f>B42+D42</f>
        <v>52.5</v>
      </c>
      <c r="F42" s="177">
        <f>$E$19</f>
        <v>52.2</v>
      </c>
      <c r="G42" s="178"/>
      <c r="H42" s="34"/>
      <c r="I42" s="175">
        <f>F42+H42</f>
        <v>52.2</v>
      </c>
      <c r="J42" s="176"/>
      <c r="M42" s="179">
        <f>$E$18</f>
        <v>52.5</v>
      </c>
      <c r="N42" s="180"/>
      <c r="O42" s="36"/>
      <c r="P42" s="37">
        <f>M42+O42</f>
        <v>52.5</v>
      </c>
      <c r="Q42" s="179">
        <f>$E$19</f>
        <v>52.2</v>
      </c>
      <c r="R42" s="180"/>
      <c r="S42" s="36"/>
      <c r="T42" s="181">
        <f>Q42+S42</f>
        <v>52.2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52.5</v>
      </c>
      <c r="F44" s="167" t="s">
        <v>16</v>
      </c>
      <c r="G44" s="168"/>
      <c r="H44" s="34"/>
      <c r="I44" s="175">
        <f t="shared" ref="I44:I51" si="5">$E$21+H44</f>
        <v>0</v>
      </c>
      <c r="J44" s="176"/>
      <c r="M44" s="166" t="s">
        <v>17</v>
      </c>
      <c r="N44" s="166"/>
      <c r="O44" s="39"/>
      <c r="P44" s="40">
        <f t="shared" ref="P44:P51" si="6">$E$20+O44</f>
        <v>52.5</v>
      </c>
      <c r="Q44" s="167" t="s">
        <v>17</v>
      </c>
      <c r="R44" s="168"/>
      <c r="S44" s="34"/>
      <c r="T44" s="175">
        <f t="shared" ref="T44:T51" si="7">$E$21+S44</f>
        <v>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52.5</v>
      </c>
      <c r="F45" s="167" t="s">
        <v>18</v>
      </c>
      <c r="G45" s="168"/>
      <c r="H45" s="38"/>
      <c r="I45" s="175">
        <f t="shared" si="5"/>
        <v>0</v>
      </c>
      <c r="J45" s="176"/>
      <c r="M45" s="166" t="s">
        <v>18</v>
      </c>
      <c r="N45" s="166"/>
      <c r="O45" s="41"/>
      <c r="P45" s="40">
        <f t="shared" si="6"/>
        <v>52.5</v>
      </c>
      <c r="Q45" s="167" t="s">
        <v>18</v>
      </c>
      <c r="R45" s="168"/>
      <c r="S45" s="38"/>
      <c r="T45" s="175">
        <f t="shared" si="7"/>
        <v>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52.5</v>
      </c>
      <c r="F46" s="167" t="s">
        <v>18</v>
      </c>
      <c r="G46" s="168"/>
      <c r="H46" s="38"/>
      <c r="I46" s="175">
        <f t="shared" si="5"/>
        <v>0</v>
      </c>
      <c r="J46" s="176"/>
      <c r="M46" s="166" t="s">
        <v>18</v>
      </c>
      <c r="N46" s="166"/>
      <c r="O46" s="41"/>
      <c r="P46" s="40">
        <f t="shared" si="6"/>
        <v>52.5</v>
      </c>
      <c r="Q46" s="167" t="s">
        <v>18</v>
      </c>
      <c r="R46" s="168"/>
      <c r="S46" s="38"/>
      <c r="T46" s="175">
        <f t="shared" si="7"/>
        <v>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52.5</v>
      </c>
      <c r="F47" s="167" t="s">
        <v>18</v>
      </c>
      <c r="G47" s="168"/>
      <c r="H47" s="38"/>
      <c r="I47" s="175">
        <f t="shared" si="5"/>
        <v>0</v>
      </c>
      <c r="J47" s="176"/>
      <c r="M47" s="166" t="s">
        <v>19</v>
      </c>
      <c r="N47" s="166"/>
      <c r="O47" s="41"/>
      <c r="P47" s="40">
        <f t="shared" si="6"/>
        <v>52.5</v>
      </c>
      <c r="Q47" s="167" t="s">
        <v>18</v>
      </c>
      <c r="R47" s="168"/>
      <c r="S47" s="38"/>
      <c r="T47" s="175">
        <f t="shared" si="7"/>
        <v>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52.5</v>
      </c>
      <c r="F48" s="167" t="s">
        <v>18</v>
      </c>
      <c r="G48" s="168"/>
      <c r="H48" s="38"/>
      <c r="I48" s="175">
        <f t="shared" si="5"/>
        <v>0</v>
      </c>
      <c r="J48" s="176"/>
      <c r="M48" s="166" t="s">
        <v>18</v>
      </c>
      <c r="N48" s="166"/>
      <c r="O48" s="41"/>
      <c r="P48" s="40">
        <f t="shared" si="6"/>
        <v>52.5</v>
      </c>
      <c r="Q48" s="167" t="s">
        <v>18</v>
      </c>
      <c r="R48" s="168"/>
      <c r="S48" s="38"/>
      <c r="T48" s="175">
        <f t="shared" si="7"/>
        <v>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52.5</v>
      </c>
      <c r="F49" s="167" t="s">
        <v>18</v>
      </c>
      <c r="G49" s="168"/>
      <c r="H49" s="38"/>
      <c r="I49" s="175">
        <f t="shared" si="5"/>
        <v>0</v>
      </c>
      <c r="J49" s="176"/>
      <c r="M49" s="166" t="s">
        <v>18</v>
      </c>
      <c r="N49" s="166"/>
      <c r="O49" s="41"/>
      <c r="P49" s="40">
        <f t="shared" si="6"/>
        <v>52.5</v>
      </c>
      <c r="Q49" s="167" t="s">
        <v>18</v>
      </c>
      <c r="R49" s="168"/>
      <c r="S49" s="38"/>
      <c r="T49" s="175">
        <f t="shared" si="7"/>
        <v>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52.5</v>
      </c>
      <c r="F50" s="167" t="s">
        <v>18</v>
      </c>
      <c r="G50" s="168"/>
      <c r="H50" s="38"/>
      <c r="I50" s="175">
        <f t="shared" si="5"/>
        <v>0</v>
      </c>
      <c r="J50" s="176"/>
      <c r="M50" s="166" t="s">
        <v>18</v>
      </c>
      <c r="N50" s="166"/>
      <c r="O50" s="41"/>
      <c r="P50" s="40">
        <f t="shared" si="6"/>
        <v>52.5</v>
      </c>
      <c r="Q50" s="167" t="s">
        <v>18</v>
      </c>
      <c r="R50" s="168"/>
      <c r="S50" s="38"/>
      <c r="T50" s="175">
        <f t="shared" si="7"/>
        <v>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52.5</v>
      </c>
      <c r="F51" s="167" t="s">
        <v>18</v>
      </c>
      <c r="G51" s="168"/>
      <c r="H51" s="38"/>
      <c r="I51" s="175">
        <f t="shared" si="5"/>
        <v>0</v>
      </c>
      <c r="J51" s="176"/>
      <c r="M51" s="166" t="s">
        <v>18</v>
      </c>
      <c r="N51" s="166"/>
      <c r="O51" s="41"/>
      <c r="P51" s="40">
        <f t="shared" si="6"/>
        <v>52.5</v>
      </c>
      <c r="Q51" s="167" t="s">
        <v>18</v>
      </c>
      <c r="R51" s="168"/>
      <c r="S51" s="38"/>
      <c r="T51" s="175">
        <f t="shared" si="7"/>
        <v>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52.5</v>
      </c>
      <c r="C55" s="178"/>
      <c r="D55" s="34"/>
      <c r="E55" s="35">
        <f>B55+D55</f>
        <v>52.5</v>
      </c>
      <c r="F55" s="177">
        <f>$E$19</f>
        <v>52.2</v>
      </c>
      <c r="G55" s="178"/>
      <c r="H55" s="34"/>
      <c r="I55" s="175">
        <f>F55+H55</f>
        <v>52.2</v>
      </c>
      <c r="J55" s="176"/>
      <c r="M55" s="179">
        <f>$E$18</f>
        <v>52.5</v>
      </c>
      <c r="N55" s="180"/>
      <c r="O55" s="36"/>
      <c r="P55" s="37">
        <f>M55+O55</f>
        <v>52.5</v>
      </c>
      <c r="Q55" s="179">
        <f>$E$19</f>
        <v>52.2</v>
      </c>
      <c r="R55" s="180"/>
      <c r="S55" s="36"/>
      <c r="T55" s="181">
        <f>Q55+S55</f>
        <v>52.2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52.5</v>
      </c>
      <c r="F57" s="167" t="s">
        <v>16</v>
      </c>
      <c r="G57" s="168"/>
      <c r="H57" s="34"/>
      <c r="I57" s="175">
        <f t="shared" ref="I57:I64" si="9">$E$21+H57</f>
        <v>0</v>
      </c>
      <c r="J57" s="176"/>
      <c r="M57" s="166" t="s">
        <v>17</v>
      </c>
      <c r="N57" s="166"/>
      <c r="O57" s="39"/>
      <c r="P57" s="40">
        <f t="shared" ref="P57:P64" si="10">$E$20+O57</f>
        <v>52.5</v>
      </c>
      <c r="Q57" s="167" t="s">
        <v>17</v>
      </c>
      <c r="R57" s="168"/>
      <c r="S57" s="34"/>
      <c r="T57" s="175">
        <f t="shared" ref="T57:T64" si="11">$E$21+S57</f>
        <v>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52.5</v>
      </c>
      <c r="F58" s="167" t="s">
        <v>18</v>
      </c>
      <c r="G58" s="168"/>
      <c r="H58" s="38"/>
      <c r="I58" s="175">
        <f t="shared" si="9"/>
        <v>0</v>
      </c>
      <c r="J58" s="176"/>
      <c r="M58" s="166" t="s">
        <v>18</v>
      </c>
      <c r="N58" s="166"/>
      <c r="O58" s="41"/>
      <c r="P58" s="40">
        <f t="shared" si="10"/>
        <v>52.5</v>
      </c>
      <c r="Q58" s="167" t="s">
        <v>18</v>
      </c>
      <c r="R58" s="168"/>
      <c r="S58" s="38"/>
      <c r="T58" s="175">
        <f t="shared" si="11"/>
        <v>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52.5</v>
      </c>
      <c r="F59" s="167" t="s">
        <v>18</v>
      </c>
      <c r="G59" s="168"/>
      <c r="H59" s="38"/>
      <c r="I59" s="175">
        <f t="shared" si="9"/>
        <v>0</v>
      </c>
      <c r="J59" s="176"/>
      <c r="M59" s="166" t="s">
        <v>18</v>
      </c>
      <c r="N59" s="166"/>
      <c r="O59" s="41"/>
      <c r="P59" s="40">
        <f t="shared" si="10"/>
        <v>52.5</v>
      </c>
      <c r="Q59" s="167" t="s">
        <v>18</v>
      </c>
      <c r="R59" s="168"/>
      <c r="S59" s="38"/>
      <c r="T59" s="175">
        <f t="shared" si="11"/>
        <v>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52.5</v>
      </c>
      <c r="F60" s="167" t="s">
        <v>18</v>
      </c>
      <c r="G60" s="168"/>
      <c r="H60" s="38"/>
      <c r="I60" s="175">
        <f t="shared" si="9"/>
        <v>0</v>
      </c>
      <c r="J60" s="176"/>
      <c r="M60" s="166" t="s">
        <v>19</v>
      </c>
      <c r="N60" s="166"/>
      <c r="O60" s="41"/>
      <c r="P60" s="40">
        <f t="shared" si="10"/>
        <v>52.5</v>
      </c>
      <c r="Q60" s="167" t="s">
        <v>18</v>
      </c>
      <c r="R60" s="168"/>
      <c r="S60" s="38"/>
      <c r="T60" s="175">
        <f t="shared" si="11"/>
        <v>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52.5</v>
      </c>
      <c r="F61" s="167" t="s">
        <v>18</v>
      </c>
      <c r="G61" s="168"/>
      <c r="H61" s="38"/>
      <c r="I61" s="175">
        <f t="shared" si="9"/>
        <v>0</v>
      </c>
      <c r="J61" s="176"/>
      <c r="M61" s="166" t="s">
        <v>18</v>
      </c>
      <c r="N61" s="166"/>
      <c r="O61" s="41"/>
      <c r="P61" s="40">
        <f t="shared" si="10"/>
        <v>52.5</v>
      </c>
      <c r="Q61" s="167" t="s">
        <v>18</v>
      </c>
      <c r="R61" s="168"/>
      <c r="S61" s="38"/>
      <c r="T61" s="175">
        <f t="shared" si="11"/>
        <v>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52.5</v>
      </c>
      <c r="F62" s="167" t="s">
        <v>18</v>
      </c>
      <c r="G62" s="168"/>
      <c r="H62" s="38"/>
      <c r="I62" s="175">
        <f t="shared" si="9"/>
        <v>0</v>
      </c>
      <c r="J62" s="176"/>
      <c r="M62" s="166" t="s">
        <v>18</v>
      </c>
      <c r="N62" s="166"/>
      <c r="O62" s="41"/>
      <c r="P62" s="40">
        <f t="shared" si="10"/>
        <v>52.5</v>
      </c>
      <c r="Q62" s="167" t="s">
        <v>18</v>
      </c>
      <c r="R62" s="168"/>
      <c r="S62" s="38"/>
      <c r="T62" s="175">
        <f t="shared" si="11"/>
        <v>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52.5</v>
      </c>
      <c r="F63" s="167" t="s">
        <v>18</v>
      </c>
      <c r="G63" s="168"/>
      <c r="H63" s="38"/>
      <c r="I63" s="175">
        <f t="shared" si="9"/>
        <v>0</v>
      </c>
      <c r="J63" s="176"/>
      <c r="M63" s="166" t="s">
        <v>18</v>
      </c>
      <c r="N63" s="166"/>
      <c r="O63" s="41"/>
      <c r="P63" s="40">
        <f t="shared" si="10"/>
        <v>52.5</v>
      </c>
      <c r="Q63" s="167" t="s">
        <v>18</v>
      </c>
      <c r="R63" s="168"/>
      <c r="S63" s="38"/>
      <c r="T63" s="175">
        <f t="shared" si="11"/>
        <v>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52.5</v>
      </c>
      <c r="F64" s="167" t="s">
        <v>18</v>
      </c>
      <c r="G64" s="168"/>
      <c r="H64" s="38"/>
      <c r="I64" s="175">
        <f t="shared" si="9"/>
        <v>0</v>
      </c>
      <c r="J64" s="176"/>
      <c r="M64" s="166" t="s">
        <v>18</v>
      </c>
      <c r="N64" s="166"/>
      <c r="O64" s="41"/>
      <c r="P64" s="40">
        <f t="shared" si="10"/>
        <v>52.5</v>
      </c>
      <c r="Q64" s="167" t="s">
        <v>18</v>
      </c>
      <c r="R64" s="168"/>
      <c r="S64" s="38"/>
      <c r="T64" s="175">
        <f t="shared" si="11"/>
        <v>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46D4-33C0-4590-A97E-CC78D2238F39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195">
        <v>46235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52.5</v>
      </c>
      <c r="F18" s="210"/>
      <c r="G18" s="211">
        <f>E18-(E22/2)</f>
        <v>42.5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52.2</v>
      </c>
      <c r="F19" s="192"/>
      <c r="G19" s="194">
        <f>E19-(E22/2)</f>
        <v>42.2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52.5</v>
      </c>
      <c r="F20" s="192"/>
      <c r="G20" s="194">
        <f>E20-(E22/2)</f>
        <v>42.5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52.5</v>
      </c>
      <c r="F21" s="192"/>
      <c r="G21" s="194">
        <f>E21-(E22/2)</f>
        <v>42.5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20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52.5</v>
      </c>
      <c r="C29" s="178"/>
      <c r="D29" s="34">
        <v>0.5</v>
      </c>
      <c r="E29" s="35">
        <f>B29+D29</f>
        <v>53</v>
      </c>
      <c r="F29" s="177">
        <f>$E$19</f>
        <v>52.2</v>
      </c>
      <c r="G29" s="178"/>
      <c r="H29" s="34">
        <v>0.6</v>
      </c>
      <c r="I29" s="175">
        <f>F29+H29</f>
        <v>52.800000000000004</v>
      </c>
      <c r="J29" s="176"/>
      <c r="M29" s="179">
        <f>$E$18</f>
        <v>52.5</v>
      </c>
      <c r="N29" s="180"/>
      <c r="O29" s="36">
        <v>0</v>
      </c>
      <c r="P29" s="37">
        <f>M29+O29</f>
        <v>52.5</v>
      </c>
      <c r="Q29" s="179">
        <f>$E$19</f>
        <v>52.2</v>
      </c>
      <c r="R29" s="180"/>
      <c r="S29" s="36">
        <v>0.5</v>
      </c>
      <c r="T29" s="181">
        <f>Q29+S29</f>
        <v>52.7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0.1</v>
      </c>
      <c r="E31" s="40">
        <f t="shared" ref="E31:E38" si="0">$E$20+D31</f>
        <v>52.6</v>
      </c>
      <c r="F31" s="167" t="s">
        <v>16</v>
      </c>
      <c r="G31" s="168"/>
      <c r="H31" s="34">
        <v>0.1</v>
      </c>
      <c r="I31" s="175">
        <f t="shared" ref="I31:I38" si="1">$E$21+H31</f>
        <v>52.6</v>
      </c>
      <c r="J31" s="176"/>
      <c r="M31" s="166" t="s">
        <v>17</v>
      </c>
      <c r="N31" s="166"/>
      <c r="O31" s="39">
        <v>-0.05</v>
      </c>
      <c r="P31" s="40">
        <f t="shared" ref="P31:P38" si="2">$E$20+O31</f>
        <v>52.45</v>
      </c>
      <c r="Q31" s="167" t="s">
        <v>17</v>
      </c>
      <c r="R31" s="168"/>
      <c r="S31" s="34">
        <v>0</v>
      </c>
      <c r="T31" s="175">
        <f t="shared" ref="T31:T38" si="3">$E$21+S31</f>
        <v>52.5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52.5</v>
      </c>
      <c r="F32" s="167" t="s">
        <v>18</v>
      </c>
      <c r="G32" s="168"/>
      <c r="H32" s="38"/>
      <c r="I32" s="175">
        <f t="shared" si="1"/>
        <v>52.5</v>
      </c>
      <c r="J32" s="176"/>
      <c r="M32" s="166" t="s">
        <v>18</v>
      </c>
      <c r="N32" s="166"/>
      <c r="O32" s="41"/>
      <c r="P32" s="40">
        <f t="shared" si="2"/>
        <v>52.5</v>
      </c>
      <c r="Q32" s="167" t="s">
        <v>18</v>
      </c>
      <c r="R32" s="168"/>
      <c r="S32" s="38"/>
      <c r="T32" s="175">
        <f t="shared" si="3"/>
        <v>52.5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52.5</v>
      </c>
      <c r="F33" s="167" t="s">
        <v>18</v>
      </c>
      <c r="G33" s="168"/>
      <c r="H33" s="38"/>
      <c r="I33" s="175">
        <f t="shared" si="1"/>
        <v>52.5</v>
      </c>
      <c r="J33" s="176"/>
      <c r="M33" s="166" t="s">
        <v>18</v>
      </c>
      <c r="N33" s="166"/>
      <c r="O33" s="41"/>
      <c r="P33" s="40">
        <f t="shared" si="2"/>
        <v>52.5</v>
      </c>
      <c r="Q33" s="167" t="s">
        <v>18</v>
      </c>
      <c r="R33" s="168"/>
      <c r="S33" s="38"/>
      <c r="T33" s="175">
        <f t="shared" si="3"/>
        <v>52.5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52.5</v>
      </c>
      <c r="F34" s="167" t="s">
        <v>18</v>
      </c>
      <c r="G34" s="168"/>
      <c r="H34" s="38"/>
      <c r="I34" s="175">
        <f t="shared" si="1"/>
        <v>52.5</v>
      </c>
      <c r="J34" s="176"/>
      <c r="M34" s="166" t="s">
        <v>19</v>
      </c>
      <c r="N34" s="166"/>
      <c r="O34" s="41"/>
      <c r="P34" s="40">
        <f t="shared" si="2"/>
        <v>52.5</v>
      </c>
      <c r="Q34" s="167" t="s">
        <v>18</v>
      </c>
      <c r="R34" s="168"/>
      <c r="S34" s="38"/>
      <c r="T34" s="175">
        <f t="shared" si="3"/>
        <v>52.5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52.5</v>
      </c>
      <c r="F35" s="167" t="s">
        <v>18</v>
      </c>
      <c r="G35" s="168"/>
      <c r="H35" s="38"/>
      <c r="I35" s="175">
        <f t="shared" si="1"/>
        <v>52.5</v>
      </c>
      <c r="J35" s="176"/>
      <c r="M35" s="166" t="s">
        <v>18</v>
      </c>
      <c r="N35" s="166"/>
      <c r="O35" s="41"/>
      <c r="P35" s="40">
        <f t="shared" si="2"/>
        <v>52.5</v>
      </c>
      <c r="Q35" s="167" t="s">
        <v>18</v>
      </c>
      <c r="R35" s="168"/>
      <c r="S35" s="38"/>
      <c r="T35" s="175">
        <f t="shared" si="3"/>
        <v>52.5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52.5</v>
      </c>
      <c r="F36" s="167" t="s">
        <v>18</v>
      </c>
      <c r="G36" s="168"/>
      <c r="H36" s="38"/>
      <c r="I36" s="175">
        <f t="shared" si="1"/>
        <v>52.5</v>
      </c>
      <c r="J36" s="176"/>
      <c r="M36" s="166" t="s">
        <v>18</v>
      </c>
      <c r="N36" s="166"/>
      <c r="O36" s="41"/>
      <c r="P36" s="40">
        <f t="shared" si="2"/>
        <v>52.5</v>
      </c>
      <c r="Q36" s="167" t="s">
        <v>18</v>
      </c>
      <c r="R36" s="168"/>
      <c r="S36" s="38"/>
      <c r="T36" s="175">
        <f t="shared" si="3"/>
        <v>52.5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52.5</v>
      </c>
      <c r="F37" s="167" t="s">
        <v>18</v>
      </c>
      <c r="G37" s="168"/>
      <c r="H37" s="38"/>
      <c r="I37" s="175">
        <f t="shared" si="1"/>
        <v>52.5</v>
      </c>
      <c r="J37" s="176"/>
      <c r="M37" s="166" t="s">
        <v>18</v>
      </c>
      <c r="N37" s="166"/>
      <c r="O37" s="41"/>
      <c r="P37" s="40">
        <f t="shared" si="2"/>
        <v>52.5</v>
      </c>
      <c r="Q37" s="167" t="s">
        <v>18</v>
      </c>
      <c r="R37" s="168"/>
      <c r="S37" s="38"/>
      <c r="T37" s="175">
        <f t="shared" si="3"/>
        <v>52.5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52.5</v>
      </c>
      <c r="F38" s="167" t="s">
        <v>18</v>
      </c>
      <c r="G38" s="168"/>
      <c r="H38" s="38"/>
      <c r="I38" s="175">
        <f t="shared" si="1"/>
        <v>52.5</v>
      </c>
      <c r="J38" s="176"/>
      <c r="M38" s="166" t="s">
        <v>18</v>
      </c>
      <c r="N38" s="166"/>
      <c r="O38" s="41"/>
      <c r="P38" s="40">
        <f t="shared" si="2"/>
        <v>52.5</v>
      </c>
      <c r="Q38" s="167" t="s">
        <v>18</v>
      </c>
      <c r="R38" s="168"/>
      <c r="S38" s="38"/>
      <c r="T38" s="175">
        <f t="shared" si="3"/>
        <v>52.5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52.5</v>
      </c>
      <c r="C42" s="178"/>
      <c r="D42" s="34"/>
      <c r="E42" s="35">
        <f>B42+D42</f>
        <v>52.5</v>
      </c>
      <c r="F42" s="177">
        <f>$E$19</f>
        <v>52.2</v>
      </c>
      <c r="G42" s="178"/>
      <c r="H42" s="34"/>
      <c r="I42" s="175">
        <f>F42+H42</f>
        <v>52.2</v>
      </c>
      <c r="J42" s="176"/>
      <c r="M42" s="179">
        <f>$E$18</f>
        <v>52.5</v>
      </c>
      <c r="N42" s="180"/>
      <c r="O42" s="36"/>
      <c r="P42" s="37">
        <f>M42+O42</f>
        <v>52.5</v>
      </c>
      <c r="Q42" s="179">
        <f>$E$19</f>
        <v>52.2</v>
      </c>
      <c r="R42" s="180"/>
      <c r="S42" s="36"/>
      <c r="T42" s="181">
        <f>Q42+S42</f>
        <v>52.2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52.5</v>
      </c>
      <c r="F44" s="167" t="s">
        <v>16</v>
      </c>
      <c r="G44" s="168"/>
      <c r="H44" s="34"/>
      <c r="I44" s="175">
        <f t="shared" ref="I44:I51" si="5">$E$21+H44</f>
        <v>52.5</v>
      </c>
      <c r="J44" s="176"/>
      <c r="M44" s="166" t="s">
        <v>17</v>
      </c>
      <c r="N44" s="166"/>
      <c r="O44" s="39"/>
      <c r="P44" s="40">
        <f t="shared" ref="P44:P51" si="6">$E$20+O44</f>
        <v>52.5</v>
      </c>
      <c r="Q44" s="167" t="s">
        <v>17</v>
      </c>
      <c r="R44" s="168"/>
      <c r="S44" s="34"/>
      <c r="T44" s="175">
        <f t="shared" ref="T44:T51" si="7">$E$21+S44</f>
        <v>52.5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52.5</v>
      </c>
      <c r="F45" s="167" t="s">
        <v>18</v>
      </c>
      <c r="G45" s="168"/>
      <c r="H45" s="38"/>
      <c r="I45" s="175">
        <f t="shared" si="5"/>
        <v>52.5</v>
      </c>
      <c r="J45" s="176"/>
      <c r="M45" s="166" t="s">
        <v>18</v>
      </c>
      <c r="N45" s="166"/>
      <c r="O45" s="41"/>
      <c r="P45" s="40">
        <f t="shared" si="6"/>
        <v>52.5</v>
      </c>
      <c r="Q45" s="167" t="s">
        <v>18</v>
      </c>
      <c r="R45" s="168"/>
      <c r="S45" s="38"/>
      <c r="T45" s="175">
        <f t="shared" si="7"/>
        <v>52.5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52.5</v>
      </c>
      <c r="F46" s="167" t="s">
        <v>18</v>
      </c>
      <c r="G46" s="168"/>
      <c r="H46" s="38"/>
      <c r="I46" s="175">
        <f t="shared" si="5"/>
        <v>52.5</v>
      </c>
      <c r="J46" s="176"/>
      <c r="M46" s="166" t="s">
        <v>18</v>
      </c>
      <c r="N46" s="166"/>
      <c r="O46" s="41"/>
      <c r="P46" s="40">
        <f t="shared" si="6"/>
        <v>52.5</v>
      </c>
      <c r="Q46" s="167" t="s">
        <v>18</v>
      </c>
      <c r="R46" s="168"/>
      <c r="S46" s="38"/>
      <c r="T46" s="175">
        <f t="shared" si="7"/>
        <v>52.5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52.5</v>
      </c>
      <c r="F47" s="167" t="s">
        <v>18</v>
      </c>
      <c r="G47" s="168"/>
      <c r="H47" s="38"/>
      <c r="I47" s="175">
        <f t="shared" si="5"/>
        <v>52.5</v>
      </c>
      <c r="J47" s="176"/>
      <c r="M47" s="166" t="s">
        <v>19</v>
      </c>
      <c r="N47" s="166"/>
      <c r="O47" s="41"/>
      <c r="P47" s="40">
        <f t="shared" si="6"/>
        <v>52.5</v>
      </c>
      <c r="Q47" s="167" t="s">
        <v>18</v>
      </c>
      <c r="R47" s="168"/>
      <c r="S47" s="38"/>
      <c r="T47" s="175">
        <f t="shared" si="7"/>
        <v>52.5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52.5</v>
      </c>
      <c r="F48" s="167" t="s">
        <v>18</v>
      </c>
      <c r="G48" s="168"/>
      <c r="H48" s="38"/>
      <c r="I48" s="175">
        <f t="shared" si="5"/>
        <v>52.5</v>
      </c>
      <c r="J48" s="176"/>
      <c r="M48" s="166" t="s">
        <v>18</v>
      </c>
      <c r="N48" s="166"/>
      <c r="O48" s="41"/>
      <c r="P48" s="40">
        <f t="shared" si="6"/>
        <v>52.5</v>
      </c>
      <c r="Q48" s="167" t="s">
        <v>18</v>
      </c>
      <c r="R48" s="168"/>
      <c r="S48" s="38"/>
      <c r="T48" s="175">
        <f t="shared" si="7"/>
        <v>52.5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52.5</v>
      </c>
      <c r="F49" s="167" t="s">
        <v>18</v>
      </c>
      <c r="G49" s="168"/>
      <c r="H49" s="38"/>
      <c r="I49" s="175">
        <f t="shared" si="5"/>
        <v>52.5</v>
      </c>
      <c r="J49" s="176"/>
      <c r="M49" s="166" t="s">
        <v>18</v>
      </c>
      <c r="N49" s="166"/>
      <c r="O49" s="41"/>
      <c r="P49" s="40">
        <f t="shared" si="6"/>
        <v>52.5</v>
      </c>
      <c r="Q49" s="167" t="s">
        <v>18</v>
      </c>
      <c r="R49" s="168"/>
      <c r="S49" s="38"/>
      <c r="T49" s="175">
        <f t="shared" si="7"/>
        <v>52.5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52.5</v>
      </c>
      <c r="F50" s="167" t="s">
        <v>18</v>
      </c>
      <c r="G50" s="168"/>
      <c r="H50" s="38"/>
      <c r="I50" s="175">
        <f t="shared" si="5"/>
        <v>52.5</v>
      </c>
      <c r="J50" s="176"/>
      <c r="M50" s="166" t="s">
        <v>18</v>
      </c>
      <c r="N50" s="166"/>
      <c r="O50" s="41"/>
      <c r="P50" s="40">
        <f t="shared" si="6"/>
        <v>52.5</v>
      </c>
      <c r="Q50" s="167" t="s">
        <v>18</v>
      </c>
      <c r="R50" s="168"/>
      <c r="S50" s="38"/>
      <c r="T50" s="175">
        <f t="shared" si="7"/>
        <v>52.5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52.5</v>
      </c>
      <c r="F51" s="167" t="s">
        <v>18</v>
      </c>
      <c r="G51" s="168"/>
      <c r="H51" s="38"/>
      <c r="I51" s="175">
        <f t="shared" si="5"/>
        <v>52.5</v>
      </c>
      <c r="J51" s="176"/>
      <c r="M51" s="166" t="s">
        <v>18</v>
      </c>
      <c r="N51" s="166"/>
      <c r="O51" s="41"/>
      <c r="P51" s="40">
        <f t="shared" si="6"/>
        <v>52.5</v>
      </c>
      <c r="Q51" s="167" t="s">
        <v>18</v>
      </c>
      <c r="R51" s="168"/>
      <c r="S51" s="38"/>
      <c r="T51" s="175">
        <f t="shared" si="7"/>
        <v>52.5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52.5</v>
      </c>
      <c r="C55" s="178"/>
      <c r="D55" s="34"/>
      <c r="E55" s="35">
        <f>B55+D55</f>
        <v>52.5</v>
      </c>
      <c r="F55" s="177">
        <f>$E$19</f>
        <v>52.2</v>
      </c>
      <c r="G55" s="178"/>
      <c r="H55" s="34"/>
      <c r="I55" s="175">
        <f>F55+H55</f>
        <v>52.2</v>
      </c>
      <c r="J55" s="176"/>
      <c r="M55" s="179">
        <f>$E$18</f>
        <v>52.5</v>
      </c>
      <c r="N55" s="180"/>
      <c r="O55" s="36"/>
      <c r="P55" s="37">
        <f>M55+O55</f>
        <v>52.5</v>
      </c>
      <c r="Q55" s="179">
        <f>$E$19</f>
        <v>52.2</v>
      </c>
      <c r="R55" s="180"/>
      <c r="S55" s="36"/>
      <c r="T55" s="181">
        <f>Q55+S55</f>
        <v>52.2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52.5</v>
      </c>
      <c r="F57" s="167" t="s">
        <v>16</v>
      </c>
      <c r="G57" s="168"/>
      <c r="H57" s="34"/>
      <c r="I57" s="175">
        <f t="shared" ref="I57:I64" si="9">$E$21+H57</f>
        <v>52.5</v>
      </c>
      <c r="J57" s="176"/>
      <c r="M57" s="166" t="s">
        <v>17</v>
      </c>
      <c r="N57" s="166"/>
      <c r="O57" s="39"/>
      <c r="P57" s="40">
        <f t="shared" ref="P57:P64" si="10">$E$20+O57</f>
        <v>52.5</v>
      </c>
      <c r="Q57" s="167" t="s">
        <v>17</v>
      </c>
      <c r="R57" s="168"/>
      <c r="S57" s="34"/>
      <c r="T57" s="175">
        <f t="shared" ref="T57:T64" si="11">$E$21+S57</f>
        <v>52.5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52.5</v>
      </c>
      <c r="F58" s="167" t="s">
        <v>18</v>
      </c>
      <c r="G58" s="168"/>
      <c r="H58" s="38"/>
      <c r="I58" s="175">
        <f t="shared" si="9"/>
        <v>52.5</v>
      </c>
      <c r="J58" s="176"/>
      <c r="M58" s="166" t="s">
        <v>18</v>
      </c>
      <c r="N58" s="166"/>
      <c r="O58" s="41"/>
      <c r="P58" s="40">
        <f t="shared" si="10"/>
        <v>52.5</v>
      </c>
      <c r="Q58" s="167" t="s">
        <v>18</v>
      </c>
      <c r="R58" s="168"/>
      <c r="S58" s="38"/>
      <c r="T58" s="175">
        <f t="shared" si="11"/>
        <v>52.5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52.5</v>
      </c>
      <c r="F59" s="167" t="s">
        <v>18</v>
      </c>
      <c r="G59" s="168"/>
      <c r="H59" s="38"/>
      <c r="I59" s="175">
        <f t="shared" si="9"/>
        <v>52.5</v>
      </c>
      <c r="J59" s="176"/>
      <c r="M59" s="166" t="s">
        <v>18</v>
      </c>
      <c r="N59" s="166"/>
      <c r="O59" s="41"/>
      <c r="P59" s="40">
        <f t="shared" si="10"/>
        <v>52.5</v>
      </c>
      <c r="Q59" s="167" t="s">
        <v>18</v>
      </c>
      <c r="R59" s="168"/>
      <c r="S59" s="38"/>
      <c r="T59" s="175">
        <f t="shared" si="11"/>
        <v>52.5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52.5</v>
      </c>
      <c r="F60" s="167" t="s">
        <v>18</v>
      </c>
      <c r="G60" s="168"/>
      <c r="H60" s="38"/>
      <c r="I60" s="175">
        <f t="shared" si="9"/>
        <v>52.5</v>
      </c>
      <c r="J60" s="176"/>
      <c r="M60" s="166" t="s">
        <v>19</v>
      </c>
      <c r="N60" s="166"/>
      <c r="O60" s="41"/>
      <c r="P60" s="40">
        <f t="shared" si="10"/>
        <v>52.5</v>
      </c>
      <c r="Q60" s="167" t="s">
        <v>18</v>
      </c>
      <c r="R60" s="168"/>
      <c r="S60" s="38"/>
      <c r="T60" s="175">
        <f t="shared" si="11"/>
        <v>52.5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52.5</v>
      </c>
      <c r="F61" s="167" t="s">
        <v>18</v>
      </c>
      <c r="G61" s="168"/>
      <c r="H61" s="38"/>
      <c r="I61" s="175">
        <f t="shared" si="9"/>
        <v>52.5</v>
      </c>
      <c r="J61" s="176"/>
      <c r="M61" s="166" t="s">
        <v>18</v>
      </c>
      <c r="N61" s="166"/>
      <c r="O61" s="41"/>
      <c r="P61" s="40">
        <f t="shared" si="10"/>
        <v>52.5</v>
      </c>
      <c r="Q61" s="167" t="s">
        <v>18</v>
      </c>
      <c r="R61" s="168"/>
      <c r="S61" s="38"/>
      <c r="T61" s="175">
        <f t="shared" si="11"/>
        <v>52.5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52.5</v>
      </c>
      <c r="F62" s="167" t="s">
        <v>18</v>
      </c>
      <c r="G62" s="168"/>
      <c r="H62" s="38"/>
      <c r="I62" s="175">
        <f t="shared" si="9"/>
        <v>52.5</v>
      </c>
      <c r="J62" s="176"/>
      <c r="M62" s="166" t="s">
        <v>18</v>
      </c>
      <c r="N62" s="166"/>
      <c r="O62" s="41"/>
      <c r="P62" s="40">
        <f t="shared" si="10"/>
        <v>52.5</v>
      </c>
      <c r="Q62" s="167" t="s">
        <v>18</v>
      </c>
      <c r="R62" s="168"/>
      <c r="S62" s="38"/>
      <c r="T62" s="175">
        <f t="shared" si="11"/>
        <v>52.5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52.5</v>
      </c>
      <c r="F63" s="167" t="s">
        <v>18</v>
      </c>
      <c r="G63" s="168"/>
      <c r="H63" s="38"/>
      <c r="I63" s="175">
        <f t="shared" si="9"/>
        <v>52.5</v>
      </c>
      <c r="J63" s="176"/>
      <c r="M63" s="166" t="s">
        <v>18</v>
      </c>
      <c r="N63" s="166"/>
      <c r="O63" s="41"/>
      <c r="P63" s="40">
        <f t="shared" si="10"/>
        <v>52.5</v>
      </c>
      <c r="Q63" s="167" t="s">
        <v>18</v>
      </c>
      <c r="R63" s="168"/>
      <c r="S63" s="38"/>
      <c r="T63" s="175">
        <f t="shared" si="11"/>
        <v>52.5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52.5</v>
      </c>
      <c r="F64" s="167" t="s">
        <v>18</v>
      </c>
      <c r="G64" s="168"/>
      <c r="H64" s="38"/>
      <c r="I64" s="175">
        <f t="shared" si="9"/>
        <v>52.5</v>
      </c>
      <c r="J64" s="176"/>
      <c r="M64" s="166" t="s">
        <v>18</v>
      </c>
      <c r="N64" s="166"/>
      <c r="O64" s="41"/>
      <c r="P64" s="40">
        <f t="shared" si="10"/>
        <v>52.5</v>
      </c>
      <c r="Q64" s="167" t="s">
        <v>18</v>
      </c>
      <c r="R64" s="168"/>
      <c r="S64" s="38"/>
      <c r="T64" s="175">
        <f t="shared" si="11"/>
        <v>52.5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B20C-64E7-4587-AC5A-EDCB6D0FF2E4}">
  <sheetPr>
    <tabColor rgb="FFFFFF00"/>
  </sheetPr>
  <dimension ref="A1:U64"/>
  <sheetViews>
    <sheetView showGridLines="0" topLeftCell="A4" workbookViewId="0"/>
  </sheetViews>
  <sheetFormatPr defaultRowHeight="15" x14ac:dyDescent="0.25"/>
  <sheetData>
    <row r="1" spans="1:21" x14ac:dyDescent="0.25">
      <c r="A1" s="195">
        <v>46235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52.5</v>
      </c>
      <c r="F18" s="210"/>
      <c r="G18" s="211">
        <f>E18-(E22/2)</f>
        <v>42.5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52.2</v>
      </c>
      <c r="F19" s="192"/>
      <c r="G19" s="194">
        <f>E19-(E22/2)</f>
        <v>42.2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52.5</v>
      </c>
      <c r="F20" s="192"/>
      <c r="G20" s="194">
        <f>E20-(E22/2)</f>
        <v>42.5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52.5</v>
      </c>
      <c r="F21" s="192"/>
      <c r="G21" s="194">
        <f>E21-(E22/2)</f>
        <v>42.5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20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52.5</v>
      </c>
      <c r="C29" s="178"/>
      <c r="D29" s="34">
        <v>0</v>
      </c>
      <c r="E29" s="35">
        <f>B29+D29</f>
        <v>52.5</v>
      </c>
      <c r="F29" s="177">
        <f>$E$19</f>
        <v>52.2</v>
      </c>
      <c r="G29" s="178"/>
      <c r="H29" s="34">
        <v>0.1</v>
      </c>
      <c r="I29" s="175">
        <f>F29+H29</f>
        <v>52.300000000000004</v>
      </c>
      <c r="J29" s="176"/>
      <c r="M29" s="179">
        <f>$E$18</f>
        <v>52.5</v>
      </c>
      <c r="N29" s="180"/>
      <c r="O29" s="36">
        <v>0.1</v>
      </c>
      <c r="P29" s="37">
        <f>M29+O29</f>
        <v>52.6</v>
      </c>
      <c r="Q29" s="179">
        <f>$E$19</f>
        <v>52.2</v>
      </c>
      <c r="R29" s="180"/>
      <c r="S29" s="36">
        <v>0</v>
      </c>
      <c r="T29" s="181">
        <f>Q29+S29</f>
        <v>52.2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0.1</v>
      </c>
      <c r="E31" s="40">
        <f t="shared" ref="E31:E38" si="0">$E$20+D31</f>
        <v>52.6</v>
      </c>
      <c r="F31" s="167" t="s">
        <v>16</v>
      </c>
      <c r="G31" s="168"/>
      <c r="H31" s="34">
        <v>0.1</v>
      </c>
      <c r="I31" s="175">
        <f t="shared" ref="I31:I38" si="1">$E$21+H31</f>
        <v>52.6</v>
      </c>
      <c r="J31" s="176"/>
      <c r="M31" s="166" t="s">
        <v>17</v>
      </c>
      <c r="N31" s="166"/>
      <c r="O31" s="39">
        <v>0</v>
      </c>
      <c r="P31" s="40">
        <f t="shared" ref="P31:P38" si="2">$E$20+O31</f>
        <v>52.5</v>
      </c>
      <c r="Q31" s="167" t="s">
        <v>17</v>
      </c>
      <c r="R31" s="168"/>
      <c r="S31" s="34">
        <v>0</v>
      </c>
      <c r="T31" s="175">
        <f t="shared" ref="T31:T38" si="3">$E$21+S31</f>
        <v>52.5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52.5</v>
      </c>
      <c r="F32" s="167" t="s">
        <v>18</v>
      </c>
      <c r="G32" s="168"/>
      <c r="H32" s="38"/>
      <c r="I32" s="175">
        <f t="shared" si="1"/>
        <v>52.5</v>
      </c>
      <c r="J32" s="176"/>
      <c r="M32" s="166" t="s">
        <v>18</v>
      </c>
      <c r="N32" s="166"/>
      <c r="O32" s="41"/>
      <c r="P32" s="40">
        <f t="shared" si="2"/>
        <v>52.5</v>
      </c>
      <c r="Q32" s="167" t="s">
        <v>18</v>
      </c>
      <c r="R32" s="168"/>
      <c r="S32" s="38"/>
      <c r="T32" s="175">
        <f t="shared" si="3"/>
        <v>52.5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52.5</v>
      </c>
      <c r="F33" s="167" t="s">
        <v>18</v>
      </c>
      <c r="G33" s="168"/>
      <c r="H33" s="38"/>
      <c r="I33" s="175">
        <f t="shared" si="1"/>
        <v>52.5</v>
      </c>
      <c r="J33" s="176"/>
      <c r="M33" s="166" t="s">
        <v>18</v>
      </c>
      <c r="N33" s="166"/>
      <c r="O33" s="41"/>
      <c r="P33" s="40">
        <f t="shared" si="2"/>
        <v>52.5</v>
      </c>
      <c r="Q33" s="167" t="s">
        <v>18</v>
      </c>
      <c r="R33" s="168"/>
      <c r="S33" s="38"/>
      <c r="T33" s="175">
        <f t="shared" si="3"/>
        <v>52.5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52.5</v>
      </c>
      <c r="F34" s="167" t="s">
        <v>18</v>
      </c>
      <c r="G34" s="168"/>
      <c r="H34" s="38"/>
      <c r="I34" s="175">
        <f t="shared" si="1"/>
        <v>52.5</v>
      </c>
      <c r="J34" s="176"/>
      <c r="M34" s="166" t="s">
        <v>19</v>
      </c>
      <c r="N34" s="166"/>
      <c r="O34" s="41"/>
      <c r="P34" s="40">
        <f t="shared" si="2"/>
        <v>52.5</v>
      </c>
      <c r="Q34" s="167" t="s">
        <v>18</v>
      </c>
      <c r="R34" s="168"/>
      <c r="S34" s="38"/>
      <c r="T34" s="175">
        <f t="shared" si="3"/>
        <v>52.5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52.5</v>
      </c>
      <c r="F35" s="167" t="s">
        <v>18</v>
      </c>
      <c r="G35" s="168"/>
      <c r="H35" s="38"/>
      <c r="I35" s="175">
        <f t="shared" si="1"/>
        <v>52.5</v>
      </c>
      <c r="J35" s="176"/>
      <c r="M35" s="166" t="s">
        <v>18</v>
      </c>
      <c r="N35" s="166"/>
      <c r="O35" s="41"/>
      <c r="P35" s="40">
        <f t="shared" si="2"/>
        <v>52.5</v>
      </c>
      <c r="Q35" s="167" t="s">
        <v>18</v>
      </c>
      <c r="R35" s="168"/>
      <c r="S35" s="38"/>
      <c r="T35" s="175">
        <f t="shared" si="3"/>
        <v>52.5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52.5</v>
      </c>
      <c r="F36" s="167" t="s">
        <v>18</v>
      </c>
      <c r="G36" s="168"/>
      <c r="H36" s="38"/>
      <c r="I36" s="175">
        <f t="shared" si="1"/>
        <v>52.5</v>
      </c>
      <c r="J36" s="176"/>
      <c r="M36" s="166" t="s">
        <v>18</v>
      </c>
      <c r="N36" s="166"/>
      <c r="O36" s="41"/>
      <c r="P36" s="40">
        <f t="shared" si="2"/>
        <v>52.5</v>
      </c>
      <c r="Q36" s="167" t="s">
        <v>18</v>
      </c>
      <c r="R36" s="168"/>
      <c r="S36" s="38"/>
      <c r="T36" s="175">
        <f t="shared" si="3"/>
        <v>52.5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52.5</v>
      </c>
      <c r="F37" s="167" t="s">
        <v>18</v>
      </c>
      <c r="G37" s="168"/>
      <c r="H37" s="38"/>
      <c r="I37" s="175">
        <f t="shared" si="1"/>
        <v>52.5</v>
      </c>
      <c r="J37" s="176"/>
      <c r="M37" s="166" t="s">
        <v>18</v>
      </c>
      <c r="N37" s="166"/>
      <c r="O37" s="41"/>
      <c r="P37" s="40">
        <f t="shared" si="2"/>
        <v>52.5</v>
      </c>
      <c r="Q37" s="167" t="s">
        <v>18</v>
      </c>
      <c r="R37" s="168"/>
      <c r="S37" s="38"/>
      <c r="T37" s="175">
        <f t="shared" si="3"/>
        <v>52.5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52.5</v>
      </c>
      <c r="F38" s="167" t="s">
        <v>18</v>
      </c>
      <c r="G38" s="168"/>
      <c r="H38" s="38"/>
      <c r="I38" s="175">
        <f t="shared" si="1"/>
        <v>52.5</v>
      </c>
      <c r="J38" s="176"/>
      <c r="M38" s="166" t="s">
        <v>18</v>
      </c>
      <c r="N38" s="166"/>
      <c r="O38" s="41"/>
      <c r="P38" s="40">
        <f t="shared" si="2"/>
        <v>52.5</v>
      </c>
      <c r="Q38" s="167" t="s">
        <v>18</v>
      </c>
      <c r="R38" s="168"/>
      <c r="S38" s="38"/>
      <c r="T38" s="175">
        <f t="shared" si="3"/>
        <v>52.5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52.5</v>
      </c>
      <c r="C42" s="178"/>
      <c r="D42" s="34"/>
      <c r="E42" s="35">
        <f>B42+D42</f>
        <v>52.5</v>
      </c>
      <c r="F42" s="177">
        <f>$E$19</f>
        <v>52.2</v>
      </c>
      <c r="G42" s="178"/>
      <c r="H42" s="34"/>
      <c r="I42" s="175">
        <f>F42+H42</f>
        <v>52.2</v>
      </c>
      <c r="J42" s="176"/>
      <c r="M42" s="179">
        <f>$E$18</f>
        <v>52.5</v>
      </c>
      <c r="N42" s="180"/>
      <c r="O42" s="36"/>
      <c r="P42" s="37">
        <f>M42+O42</f>
        <v>52.5</v>
      </c>
      <c r="Q42" s="179">
        <f>$E$19</f>
        <v>52.2</v>
      </c>
      <c r="R42" s="180"/>
      <c r="S42" s="36"/>
      <c r="T42" s="181">
        <f>Q42+S42</f>
        <v>52.2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52.5</v>
      </c>
      <c r="F44" s="167" t="s">
        <v>16</v>
      </c>
      <c r="G44" s="168"/>
      <c r="H44" s="34"/>
      <c r="I44" s="175">
        <f t="shared" ref="I44:I51" si="5">$E$21+H44</f>
        <v>52.5</v>
      </c>
      <c r="J44" s="176"/>
      <c r="M44" s="166" t="s">
        <v>17</v>
      </c>
      <c r="N44" s="166"/>
      <c r="O44" s="39"/>
      <c r="P44" s="40">
        <f t="shared" ref="P44:P51" si="6">$E$20+O44</f>
        <v>52.5</v>
      </c>
      <c r="Q44" s="167" t="s">
        <v>17</v>
      </c>
      <c r="R44" s="168"/>
      <c r="S44" s="34"/>
      <c r="T44" s="175">
        <f t="shared" ref="T44:T51" si="7">$E$21+S44</f>
        <v>52.5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52.5</v>
      </c>
      <c r="F45" s="167" t="s">
        <v>18</v>
      </c>
      <c r="G45" s="168"/>
      <c r="H45" s="38"/>
      <c r="I45" s="175">
        <f t="shared" si="5"/>
        <v>52.5</v>
      </c>
      <c r="J45" s="176"/>
      <c r="M45" s="166" t="s">
        <v>18</v>
      </c>
      <c r="N45" s="166"/>
      <c r="O45" s="41"/>
      <c r="P45" s="40">
        <f t="shared" si="6"/>
        <v>52.5</v>
      </c>
      <c r="Q45" s="167" t="s">
        <v>18</v>
      </c>
      <c r="R45" s="168"/>
      <c r="S45" s="38"/>
      <c r="T45" s="175">
        <f t="shared" si="7"/>
        <v>52.5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52.5</v>
      </c>
      <c r="F46" s="167" t="s">
        <v>18</v>
      </c>
      <c r="G46" s="168"/>
      <c r="H46" s="38"/>
      <c r="I46" s="175">
        <f t="shared" si="5"/>
        <v>52.5</v>
      </c>
      <c r="J46" s="176"/>
      <c r="M46" s="166" t="s">
        <v>18</v>
      </c>
      <c r="N46" s="166"/>
      <c r="O46" s="41"/>
      <c r="P46" s="40">
        <f t="shared" si="6"/>
        <v>52.5</v>
      </c>
      <c r="Q46" s="167" t="s">
        <v>18</v>
      </c>
      <c r="R46" s="168"/>
      <c r="S46" s="38"/>
      <c r="T46" s="175">
        <f t="shared" si="7"/>
        <v>52.5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52.5</v>
      </c>
      <c r="F47" s="167" t="s">
        <v>18</v>
      </c>
      <c r="G47" s="168"/>
      <c r="H47" s="38"/>
      <c r="I47" s="175">
        <f t="shared" si="5"/>
        <v>52.5</v>
      </c>
      <c r="J47" s="176"/>
      <c r="M47" s="166" t="s">
        <v>19</v>
      </c>
      <c r="N47" s="166"/>
      <c r="O47" s="41"/>
      <c r="P47" s="40">
        <f t="shared" si="6"/>
        <v>52.5</v>
      </c>
      <c r="Q47" s="167" t="s">
        <v>18</v>
      </c>
      <c r="R47" s="168"/>
      <c r="S47" s="38"/>
      <c r="T47" s="175">
        <f t="shared" si="7"/>
        <v>52.5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52.5</v>
      </c>
      <c r="F48" s="167" t="s">
        <v>18</v>
      </c>
      <c r="G48" s="168"/>
      <c r="H48" s="38"/>
      <c r="I48" s="175">
        <f t="shared" si="5"/>
        <v>52.5</v>
      </c>
      <c r="J48" s="176"/>
      <c r="M48" s="166" t="s">
        <v>18</v>
      </c>
      <c r="N48" s="166"/>
      <c r="O48" s="41"/>
      <c r="P48" s="40">
        <f t="shared" si="6"/>
        <v>52.5</v>
      </c>
      <c r="Q48" s="167" t="s">
        <v>18</v>
      </c>
      <c r="R48" s="168"/>
      <c r="S48" s="38"/>
      <c r="T48" s="175">
        <f t="shared" si="7"/>
        <v>52.5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52.5</v>
      </c>
      <c r="F49" s="167" t="s">
        <v>18</v>
      </c>
      <c r="G49" s="168"/>
      <c r="H49" s="38"/>
      <c r="I49" s="175">
        <f t="shared" si="5"/>
        <v>52.5</v>
      </c>
      <c r="J49" s="176"/>
      <c r="M49" s="166" t="s">
        <v>18</v>
      </c>
      <c r="N49" s="166"/>
      <c r="O49" s="41"/>
      <c r="P49" s="40">
        <f t="shared" si="6"/>
        <v>52.5</v>
      </c>
      <c r="Q49" s="167" t="s">
        <v>18</v>
      </c>
      <c r="R49" s="168"/>
      <c r="S49" s="38"/>
      <c r="T49" s="175">
        <f t="shared" si="7"/>
        <v>52.5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52.5</v>
      </c>
      <c r="F50" s="167" t="s">
        <v>18</v>
      </c>
      <c r="G50" s="168"/>
      <c r="H50" s="38"/>
      <c r="I50" s="175">
        <f t="shared" si="5"/>
        <v>52.5</v>
      </c>
      <c r="J50" s="176"/>
      <c r="M50" s="166" t="s">
        <v>18</v>
      </c>
      <c r="N50" s="166"/>
      <c r="O50" s="41"/>
      <c r="P50" s="40">
        <f t="shared" si="6"/>
        <v>52.5</v>
      </c>
      <c r="Q50" s="167" t="s">
        <v>18</v>
      </c>
      <c r="R50" s="168"/>
      <c r="S50" s="38"/>
      <c r="T50" s="175">
        <f t="shared" si="7"/>
        <v>52.5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52.5</v>
      </c>
      <c r="F51" s="167" t="s">
        <v>18</v>
      </c>
      <c r="G51" s="168"/>
      <c r="H51" s="38"/>
      <c r="I51" s="175">
        <f t="shared" si="5"/>
        <v>52.5</v>
      </c>
      <c r="J51" s="176"/>
      <c r="M51" s="166" t="s">
        <v>18</v>
      </c>
      <c r="N51" s="166"/>
      <c r="O51" s="41"/>
      <c r="P51" s="40">
        <f t="shared" si="6"/>
        <v>52.5</v>
      </c>
      <c r="Q51" s="167" t="s">
        <v>18</v>
      </c>
      <c r="R51" s="168"/>
      <c r="S51" s="38"/>
      <c r="T51" s="175">
        <f t="shared" si="7"/>
        <v>52.5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52.5</v>
      </c>
      <c r="C55" s="178"/>
      <c r="D55" s="34"/>
      <c r="E55" s="35">
        <f>B55+D55</f>
        <v>52.5</v>
      </c>
      <c r="F55" s="177">
        <f>$E$19</f>
        <v>52.2</v>
      </c>
      <c r="G55" s="178"/>
      <c r="H55" s="34"/>
      <c r="I55" s="175">
        <f>F55+H55</f>
        <v>52.2</v>
      </c>
      <c r="J55" s="176"/>
      <c r="M55" s="179">
        <f>$E$18</f>
        <v>52.5</v>
      </c>
      <c r="N55" s="180"/>
      <c r="O55" s="36"/>
      <c r="P55" s="37">
        <f>M55+O55</f>
        <v>52.5</v>
      </c>
      <c r="Q55" s="179">
        <f>$E$19</f>
        <v>52.2</v>
      </c>
      <c r="R55" s="180"/>
      <c r="S55" s="36"/>
      <c r="T55" s="181">
        <f>Q55+S55</f>
        <v>52.2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52.5</v>
      </c>
      <c r="F57" s="167" t="s">
        <v>16</v>
      </c>
      <c r="G57" s="168"/>
      <c r="H57" s="34"/>
      <c r="I57" s="175">
        <f t="shared" ref="I57:I64" si="9">$E$21+H57</f>
        <v>52.5</v>
      </c>
      <c r="J57" s="176"/>
      <c r="M57" s="166" t="s">
        <v>17</v>
      </c>
      <c r="N57" s="166"/>
      <c r="O57" s="39"/>
      <c r="P57" s="40">
        <f t="shared" ref="P57:P64" si="10">$E$20+O57</f>
        <v>52.5</v>
      </c>
      <c r="Q57" s="167" t="s">
        <v>17</v>
      </c>
      <c r="R57" s="168"/>
      <c r="S57" s="34"/>
      <c r="T57" s="175">
        <f t="shared" ref="T57:T64" si="11">$E$21+S57</f>
        <v>52.5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52.5</v>
      </c>
      <c r="F58" s="167" t="s">
        <v>18</v>
      </c>
      <c r="G58" s="168"/>
      <c r="H58" s="38"/>
      <c r="I58" s="175">
        <f t="shared" si="9"/>
        <v>52.5</v>
      </c>
      <c r="J58" s="176"/>
      <c r="M58" s="166" t="s">
        <v>18</v>
      </c>
      <c r="N58" s="166"/>
      <c r="O58" s="41"/>
      <c r="P58" s="40">
        <f t="shared" si="10"/>
        <v>52.5</v>
      </c>
      <c r="Q58" s="167" t="s">
        <v>18</v>
      </c>
      <c r="R58" s="168"/>
      <c r="S58" s="38"/>
      <c r="T58" s="175">
        <f t="shared" si="11"/>
        <v>52.5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52.5</v>
      </c>
      <c r="F59" s="167" t="s">
        <v>18</v>
      </c>
      <c r="G59" s="168"/>
      <c r="H59" s="38"/>
      <c r="I59" s="175">
        <f t="shared" si="9"/>
        <v>52.5</v>
      </c>
      <c r="J59" s="176"/>
      <c r="M59" s="166" t="s">
        <v>18</v>
      </c>
      <c r="N59" s="166"/>
      <c r="O59" s="41"/>
      <c r="P59" s="40">
        <f t="shared" si="10"/>
        <v>52.5</v>
      </c>
      <c r="Q59" s="167" t="s">
        <v>18</v>
      </c>
      <c r="R59" s="168"/>
      <c r="S59" s="38"/>
      <c r="T59" s="175">
        <f t="shared" si="11"/>
        <v>52.5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52.5</v>
      </c>
      <c r="F60" s="167" t="s">
        <v>18</v>
      </c>
      <c r="G60" s="168"/>
      <c r="H60" s="38"/>
      <c r="I60" s="175">
        <f t="shared" si="9"/>
        <v>52.5</v>
      </c>
      <c r="J60" s="176"/>
      <c r="M60" s="166" t="s">
        <v>19</v>
      </c>
      <c r="N60" s="166"/>
      <c r="O60" s="41"/>
      <c r="P60" s="40">
        <f t="shared" si="10"/>
        <v>52.5</v>
      </c>
      <c r="Q60" s="167" t="s">
        <v>18</v>
      </c>
      <c r="R60" s="168"/>
      <c r="S60" s="38"/>
      <c r="T60" s="175">
        <f t="shared" si="11"/>
        <v>52.5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52.5</v>
      </c>
      <c r="F61" s="167" t="s">
        <v>18</v>
      </c>
      <c r="G61" s="168"/>
      <c r="H61" s="38"/>
      <c r="I61" s="175">
        <f t="shared" si="9"/>
        <v>52.5</v>
      </c>
      <c r="J61" s="176"/>
      <c r="M61" s="166" t="s">
        <v>18</v>
      </c>
      <c r="N61" s="166"/>
      <c r="O61" s="41"/>
      <c r="P61" s="40">
        <f t="shared" si="10"/>
        <v>52.5</v>
      </c>
      <c r="Q61" s="167" t="s">
        <v>18</v>
      </c>
      <c r="R61" s="168"/>
      <c r="S61" s="38"/>
      <c r="T61" s="175">
        <f t="shared" si="11"/>
        <v>52.5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52.5</v>
      </c>
      <c r="F62" s="167" t="s">
        <v>18</v>
      </c>
      <c r="G62" s="168"/>
      <c r="H62" s="38"/>
      <c r="I62" s="175">
        <f t="shared" si="9"/>
        <v>52.5</v>
      </c>
      <c r="J62" s="176"/>
      <c r="M62" s="166" t="s">
        <v>18</v>
      </c>
      <c r="N62" s="166"/>
      <c r="O62" s="41"/>
      <c r="P62" s="40">
        <f t="shared" si="10"/>
        <v>52.5</v>
      </c>
      <c r="Q62" s="167" t="s">
        <v>18</v>
      </c>
      <c r="R62" s="168"/>
      <c r="S62" s="38"/>
      <c r="T62" s="175">
        <f t="shared" si="11"/>
        <v>52.5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52.5</v>
      </c>
      <c r="F63" s="167" t="s">
        <v>18</v>
      </c>
      <c r="G63" s="168"/>
      <c r="H63" s="38"/>
      <c r="I63" s="175">
        <f t="shared" si="9"/>
        <v>52.5</v>
      </c>
      <c r="J63" s="176"/>
      <c r="M63" s="166" t="s">
        <v>18</v>
      </c>
      <c r="N63" s="166"/>
      <c r="O63" s="41"/>
      <c r="P63" s="40">
        <f t="shared" si="10"/>
        <v>52.5</v>
      </c>
      <c r="Q63" s="167" t="s">
        <v>18</v>
      </c>
      <c r="R63" s="168"/>
      <c r="S63" s="38"/>
      <c r="T63" s="175">
        <f t="shared" si="11"/>
        <v>52.5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52.5</v>
      </c>
      <c r="F64" s="167" t="s">
        <v>18</v>
      </c>
      <c r="G64" s="168"/>
      <c r="H64" s="38"/>
      <c r="I64" s="175">
        <f t="shared" si="9"/>
        <v>52.5</v>
      </c>
      <c r="J64" s="176"/>
      <c r="M64" s="166" t="s">
        <v>18</v>
      </c>
      <c r="N64" s="166"/>
      <c r="O64" s="41"/>
      <c r="P64" s="40">
        <f t="shared" si="10"/>
        <v>52.5</v>
      </c>
      <c r="Q64" s="167" t="s">
        <v>18</v>
      </c>
      <c r="R64" s="168"/>
      <c r="S64" s="38"/>
      <c r="T64" s="175">
        <f t="shared" si="11"/>
        <v>52.5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1764-0960-4AFC-9E98-E29FB0D9ED5A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195">
        <v>46235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52.5</v>
      </c>
      <c r="F18" s="210"/>
      <c r="G18" s="211">
        <f>E18-(E22/2)</f>
        <v>42.5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52.5</v>
      </c>
      <c r="F19" s="192"/>
      <c r="G19" s="194">
        <f>E19-(E22/2)</f>
        <v>42.5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52.5</v>
      </c>
      <c r="F20" s="192"/>
      <c r="G20" s="194">
        <f>E20-(E22/2)</f>
        <v>42.5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52.5</v>
      </c>
      <c r="F21" s="192"/>
      <c r="G21" s="194">
        <f>E21-(E22/2)</f>
        <v>42.5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20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52.5</v>
      </c>
      <c r="C29" s="178"/>
      <c r="D29" s="34">
        <v>0.5</v>
      </c>
      <c r="E29" s="35">
        <f>B29+D29</f>
        <v>53</v>
      </c>
      <c r="F29" s="177">
        <f>$E$19</f>
        <v>52.5</v>
      </c>
      <c r="G29" s="178"/>
      <c r="H29" s="34">
        <v>0.2</v>
      </c>
      <c r="I29" s="175">
        <f>F29+H29</f>
        <v>52.7</v>
      </c>
      <c r="J29" s="176"/>
      <c r="M29" s="179">
        <f>$E$18</f>
        <v>52.5</v>
      </c>
      <c r="N29" s="180"/>
      <c r="O29" s="36">
        <v>0.1</v>
      </c>
      <c r="P29" s="37">
        <f>M29+O29</f>
        <v>52.6</v>
      </c>
      <c r="Q29" s="179">
        <f>$E$19</f>
        <v>52.5</v>
      </c>
      <c r="R29" s="180"/>
      <c r="S29" s="36">
        <v>0.2</v>
      </c>
      <c r="T29" s="181">
        <f>Q29+S29</f>
        <v>52.7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-0.05</v>
      </c>
      <c r="E31" s="40">
        <f t="shared" ref="E31:E38" si="0">$E$20+D31</f>
        <v>52.45</v>
      </c>
      <c r="F31" s="167" t="s">
        <v>16</v>
      </c>
      <c r="G31" s="168"/>
      <c r="H31" s="34">
        <v>0</v>
      </c>
      <c r="I31" s="175">
        <f t="shared" ref="I31:I38" si="1">$E$21+H31</f>
        <v>52.5</v>
      </c>
      <c r="J31" s="176"/>
      <c r="M31" s="166" t="s">
        <v>17</v>
      </c>
      <c r="N31" s="166"/>
      <c r="O31" s="39">
        <v>0</v>
      </c>
      <c r="P31" s="40">
        <f t="shared" ref="P31:P38" si="2">$E$20+O31</f>
        <v>52.5</v>
      </c>
      <c r="Q31" s="167" t="s">
        <v>17</v>
      </c>
      <c r="R31" s="168"/>
      <c r="S31" s="34">
        <v>0</v>
      </c>
      <c r="T31" s="175">
        <f t="shared" ref="T31:T38" si="3">$E$21+S31</f>
        <v>52.5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52.5</v>
      </c>
      <c r="F32" s="167" t="s">
        <v>18</v>
      </c>
      <c r="G32" s="168"/>
      <c r="H32" s="38"/>
      <c r="I32" s="175">
        <f t="shared" si="1"/>
        <v>52.5</v>
      </c>
      <c r="J32" s="176"/>
      <c r="M32" s="166" t="s">
        <v>18</v>
      </c>
      <c r="N32" s="166"/>
      <c r="O32" s="41"/>
      <c r="P32" s="40">
        <f t="shared" si="2"/>
        <v>52.5</v>
      </c>
      <c r="Q32" s="167" t="s">
        <v>18</v>
      </c>
      <c r="R32" s="168"/>
      <c r="S32" s="38"/>
      <c r="T32" s="175">
        <f t="shared" si="3"/>
        <v>52.5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52.5</v>
      </c>
      <c r="F33" s="167" t="s">
        <v>18</v>
      </c>
      <c r="G33" s="168"/>
      <c r="H33" s="38"/>
      <c r="I33" s="175">
        <f t="shared" si="1"/>
        <v>52.5</v>
      </c>
      <c r="J33" s="176"/>
      <c r="M33" s="166" t="s">
        <v>18</v>
      </c>
      <c r="N33" s="166"/>
      <c r="O33" s="41"/>
      <c r="P33" s="40">
        <f t="shared" si="2"/>
        <v>52.5</v>
      </c>
      <c r="Q33" s="167" t="s">
        <v>18</v>
      </c>
      <c r="R33" s="168"/>
      <c r="S33" s="38"/>
      <c r="T33" s="175">
        <f t="shared" si="3"/>
        <v>52.5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52.5</v>
      </c>
      <c r="F34" s="167" t="s">
        <v>18</v>
      </c>
      <c r="G34" s="168"/>
      <c r="H34" s="38"/>
      <c r="I34" s="175">
        <f t="shared" si="1"/>
        <v>52.5</v>
      </c>
      <c r="J34" s="176"/>
      <c r="M34" s="166" t="s">
        <v>19</v>
      </c>
      <c r="N34" s="166"/>
      <c r="O34" s="41"/>
      <c r="P34" s="40">
        <f t="shared" si="2"/>
        <v>52.5</v>
      </c>
      <c r="Q34" s="167" t="s">
        <v>18</v>
      </c>
      <c r="R34" s="168"/>
      <c r="S34" s="38"/>
      <c r="T34" s="175">
        <f t="shared" si="3"/>
        <v>52.5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52.5</v>
      </c>
      <c r="F35" s="167" t="s">
        <v>18</v>
      </c>
      <c r="G35" s="168"/>
      <c r="H35" s="38"/>
      <c r="I35" s="175">
        <f t="shared" si="1"/>
        <v>52.5</v>
      </c>
      <c r="J35" s="176"/>
      <c r="M35" s="166" t="s">
        <v>18</v>
      </c>
      <c r="N35" s="166"/>
      <c r="O35" s="41"/>
      <c r="P35" s="40">
        <f t="shared" si="2"/>
        <v>52.5</v>
      </c>
      <c r="Q35" s="167" t="s">
        <v>18</v>
      </c>
      <c r="R35" s="168"/>
      <c r="S35" s="38"/>
      <c r="T35" s="175">
        <f t="shared" si="3"/>
        <v>52.5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52.5</v>
      </c>
      <c r="F36" s="167" t="s">
        <v>18</v>
      </c>
      <c r="G36" s="168"/>
      <c r="H36" s="38"/>
      <c r="I36" s="175">
        <f t="shared" si="1"/>
        <v>52.5</v>
      </c>
      <c r="J36" s="176"/>
      <c r="M36" s="166" t="s">
        <v>18</v>
      </c>
      <c r="N36" s="166"/>
      <c r="O36" s="41"/>
      <c r="P36" s="40">
        <f t="shared" si="2"/>
        <v>52.5</v>
      </c>
      <c r="Q36" s="167" t="s">
        <v>18</v>
      </c>
      <c r="R36" s="168"/>
      <c r="S36" s="38"/>
      <c r="T36" s="175">
        <f t="shared" si="3"/>
        <v>52.5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52.5</v>
      </c>
      <c r="F37" s="167" t="s">
        <v>18</v>
      </c>
      <c r="G37" s="168"/>
      <c r="H37" s="38"/>
      <c r="I37" s="175">
        <f t="shared" si="1"/>
        <v>52.5</v>
      </c>
      <c r="J37" s="176"/>
      <c r="M37" s="166" t="s">
        <v>18</v>
      </c>
      <c r="N37" s="166"/>
      <c r="O37" s="41"/>
      <c r="P37" s="40">
        <f t="shared" si="2"/>
        <v>52.5</v>
      </c>
      <c r="Q37" s="167" t="s">
        <v>18</v>
      </c>
      <c r="R37" s="168"/>
      <c r="S37" s="38"/>
      <c r="T37" s="175">
        <f t="shared" si="3"/>
        <v>52.5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52.5</v>
      </c>
      <c r="F38" s="167" t="s">
        <v>18</v>
      </c>
      <c r="G38" s="168"/>
      <c r="H38" s="38"/>
      <c r="I38" s="175">
        <f t="shared" si="1"/>
        <v>52.5</v>
      </c>
      <c r="J38" s="176"/>
      <c r="M38" s="166" t="s">
        <v>18</v>
      </c>
      <c r="N38" s="166"/>
      <c r="O38" s="41"/>
      <c r="P38" s="40">
        <f t="shared" si="2"/>
        <v>52.5</v>
      </c>
      <c r="Q38" s="167" t="s">
        <v>18</v>
      </c>
      <c r="R38" s="168"/>
      <c r="S38" s="38"/>
      <c r="T38" s="175">
        <f t="shared" si="3"/>
        <v>52.5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52.5</v>
      </c>
      <c r="C42" s="178"/>
      <c r="D42" s="34"/>
      <c r="E42" s="35">
        <f>B42+D42</f>
        <v>52.5</v>
      </c>
      <c r="F42" s="177">
        <f>$E$19</f>
        <v>52.5</v>
      </c>
      <c r="G42" s="178"/>
      <c r="H42" s="34"/>
      <c r="I42" s="175">
        <f>F42+H42</f>
        <v>52.5</v>
      </c>
      <c r="J42" s="176"/>
      <c r="M42" s="179">
        <f>$E$18</f>
        <v>52.5</v>
      </c>
      <c r="N42" s="180"/>
      <c r="O42" s="36"/>
      <c r="P42" s="37">
        <f>M42+O42</f>
        <v>52.5</v>
      </c>
      <c r="Q42" s="179">
        <f>$E$19</f>
        <v>52.5</v>
      </c>
      <c r="R42" s="180"/>
      <c r="S42" s="36"/>
      <c r="T42" s="181">
        <f>Q42+S42</f>
        <v>52.5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52.5</v>
      </c>
      <c r="F44" s="167" t="s">
        <v>16</v>
      </c>
      <c r="G44" s="168"/>
      <c r="H44" s="34"/>
      <c r="I44" s="175">
        <f t="shared" ref="I44:I51" si="5">$E$21+H44</f>
        <v>52.5</v>
      </c>
      <c r="J44" s="176"/>
      <c r="M44" s="166" t="s">
        <v>17</v>
      </c>
      <c r="N44" s="166"/>
      <c r="O44" s="39"/>
      <c r="P44" s="40">
        <f t="shared" ref="P44:P51" si="6">$E$20+O44</f>
        <v>52.5</v>
      </c>
      <c r="Q44" s="167" t="s">
        <v>17</v>
      </c>
      <c r="R44" s="168"/>
      <c r="S44" s="34"/>
      <c r="T44" s="175">
        <f t="shared" ref="T44:T51" si="7">$E$21+S44</f>
        <v>52.5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52.5</v>
      </c>
      <c r="F45" s="167" t="s">
        <v>18</v>
      </c>
      <c r="G45" s="168"/>
      <c r="H45" s="38"/>
      <c r="I45" s="175">
        <f t="shared" si="5"/>
        <v>52.5</v>
      </c>
      <c r="J45" s="176"/>
      <c r="M45" s="166" t="s">
        <v>18</v>
      </c>
      <c r="N45" s="166"/>
      <c r="O45" s="41"/>
      <c r="P45" s="40">
        <f t="shared" si="6"/>
        <v>52.5</v>
      </c>
      <c r="Q45" s="167" t="s">
        <v>18</v>
      </c>
      <c r="R45" s="168"/>
      <c r="S45" s="38"/>
      <c r="T45" s="175">
        <f t="shared" si="7"/>
        <v>52.5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52.5</v>
      </c>
      <c r="F46" s="167" t="s">
        <v>18</v>
      </c>
      <c r="G46" s="168"/>
      <c r="H46" s="38"/>
      <c r="I46" s="175">
        <f t="shared" si="5"/>
        <v>52.5</v>
      </c>
      <c r="J46" s="176"/>
      <c r="M46" s="166" t="s">
        <v>18</v>
      </c>
      <c r="N46" s="166"/>
      <c r="O46" s="41"/>
      <c r="P46" s="40">
        <f t="shared" si="6"/>
        <v>52.5</v>
      </c>
      <c r="Q46" s="167" t="s">
        <v>18</v>
      </c>
      <c r="R46" s="168"/>
      <c r="S46" s="38"/>
      <c r="T46" s="175">
        <f t="shared" si="7"/>
        <v>52.5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52.5</v>
      </c>
      <c r="F47" s="167" t="s">
        <v>18</v>
      </c>
      <c r="G47" s="168"/>
      <c r="H47" s="38"/>
      <c r="I47" s="175">
        <f t="shared" si="5"/>
        <v>52.5</v>
      </c>
      <c r="J47" s="176"/>
      <c r="M47" s="166" t="s">
        <v>19</v>
      </c>
      <c r="N47" s="166"/>
      <c r="O47" s="41"/>
      <c r="P47" s="40">
        <f t="shared" si="6"/>
        <v>52.5</v>
      </c>
      <c r="Q47" s="167" t="s">
        <v>18</v>
      </c>
      <c r="R47" s="168"/>
      <c r="S47" s="38"/>
      <c r="T47" s="175">
        <f t="shared" si="7"/>
        <v>52.5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52.5</v>
      </c>
      <c r="F48" s="167" t="s">
        <v>18</v>
      </c>
      <c r="G48" s="168"/>
      <c r="H48" s="38"/>
      <c r="I48" s="175">
        <f t="shared" si="5"/>
        <v>52.5</v>
      </c>
      <c r="J48" s="176"/>
      <c r="M48" s="166" t="s">
        <v>18</v>
      </c>
      <c r="N48" s="166"/>
      <c r="O48" s="41"/>
      <c r="P48" s="40">
        <f t="shared" si="6"/>
        <v>52.5</v>
      </c>
      <c r="Q48" s="167" t="s">
        <v>18</v>
      </c>
      <c r="R48" s="168"/>
      <c r="S48" s="38"/>
      <c r="T48" s="175">
        <f t="shared" si="7"/>
        <v>52.5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52.5</v>
      </c>
      <c r="F49" s="167" t="s">
        <v>18</v>
      </c>
      <c r="G49" s="168"/>
      <c r="H49" s="38"/>
      <c r="I49" s="175">
        <f t="shared" si="5"/>
        <v>52.5</v>
      </c>
      <c r="J49" s="176"/>
      <c r="M49" s="166" t="s">
        <v>18</v>
      </c>
      <c r="N49" s="166"/>
      <c r="O49" s="41"/>
      <c r="P49" s="40">
        <f t="shared" si="6"/>
        <v>52.5</v>
      </c>
      <c r="Q49" s="167" t="s">
        <v>18</v>
      </c>
      <c r="R49" s="168"/>
      <c r="S49" s="38"/>
      <c r="T49" s="175">
        <f t="shared" si="7"/>
        <v>52.5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52.5</v>
      </c>
      <c r="F50" s="167" t="s">
        <v>18</v>
      </c>
      <c r="G50" s="168"/>
      <c r="H50" s="38"/>
      <c r="I50" s="175">
        <f t="shared" si="5"/>
        <v>52.5</v>
      </c>
      <c r="J50" s="176"/>
      <c r="M50" s="166" t="s">
        <v>18</v>
      </c>
      <c r="N50" s="166"/>
      <c r="O50" s="41"/>
      <c r="P50" s="40">
        <f t="shared" si="6"/>
        <v>52.5</v>
      </c>
      <c r="Q50" s="167" t="s">
        <v>18</v>
      </c>
      <c r="R50" s="168"/>
      <c r="S50" s="38"/>
      <c r="T50" s="175">
        <f t="shared" si="7"/>
        <v>52.5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52.5</v>
      </c>
      <c r="F51" s="167" t="s">
        <v>18</v>
      </c>
      <c r="G51" s="168"/>
      <c r="H51" s="38"/>
      <c r="I51" s="175">
        <f t="shared" si="5"/>
        <v>52.5</v>
      </c>
      <c r="J51" s="176"/>
      <c r="M51" s="166" t="s">
        <v>18</v>
      </c>
      <c r="N51" s="166"/>
      <c r="O51" s="41"/>
      <c r="P51" s="40">
        <f t="shared" si="6"/>
        <v>52.5</v>
      </c>
      <c r="Q51" s="167" t="s">
        <v>18</v>
      </c>
      <c r="R51" s="168"/>
      <c r="S51" s="38"/>
      <c r="T51" s="175">
        <f t="shared" si="7"/>
        <v>52.5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52.5</v>
      </c>
      <c r="C55" s="178"/>
      <c r="D55" s="34"/>
      <c r="E55" s="35">
        <f>B55+D55</f>
        <v>52.5</v>
      </c>
      <c r="F55" s="177">
        <f>$E$19</f>
        <v>52.5</v>
      </c>
      <c r="G55" s="178"/>
      <c r="H55" s="34"/>
      <c r="I55" s="175">
        <f>F55+H55</f>
        <v>52.5</v>
      </c>
      <c r="J55" s="176"/>
      <c r="M55" s="179">
        <f>$E$18</f>
        <v>52.5</v>
      </c>
      <c r="N55" s="180"/>
      <c r="O55" s="36"/>
      <c r="P55" s="37">
        <f>M55+O55</f>
        <v>52.5</v>
      </c>
      <c r="Q55" s="179">
        <f>$E$19</f>
        <v>52.5</v>
      </c>
      <c r="R55" s="180"/>
      <c r="S55" s="36"/>
      <c r="T55" s="181">
        <f>Q55+S55</f>
        <v>52.5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52.5</v>
      </c>
      <c r="F57" s="167" t="s">
        <v>16</v>
      </c>
      <c r="G57" s="168"/>
      <c r="H57" s="34"/>
      <c r="I57" s="175">
        <f t="shared" ref="I57:I64" si="9">$E$21+H57</f>
        <v>52.5</v>
      </c>
      <c r="J57" s="176"/>
      <c r="M57" s="166" t="s">
        <v>17</v>
      </c>
      <c r="N57" s="166"/>
      <c r="O57" s="39"/>
      <c r="P57" s="40">
        <f t="shared" ref="P57:P64" si="10">$E$20+O57</f>
        <v>52.5</v>
      </c>
      <c r="Q57" s="167" t="s">
        <v>17</v>
      </c>
      <c r="R57" s="168"/>
      <c r="S57" s="34"/>
      <c r="T57" s="175">
        <f t="shared" ref="T57:T64" si="11">$E$21+S57</f>
        <v>52.5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52.5</v>
      </c>
      <c r="F58" s="167" t="s">
        <v>18</v>
      </c>
      <c r="G58" s="168"/>
      <c r="H58" s="38"/>
      <c r="I58" s="175">
        <f t="shared" si="9"/>
        <v>52.5</v>
      </c>
      <c r="J58" s="176"/>
      <c r="M58" s="166" t="s">
        <v>18</v>
      </c>
      <c r="N58" s="166"/>
      <c r="O58" s="41"/>
      <c r="P58" s="40">
        <f t="shared" si="10"/>
        <v>52.5</v>
      </c>
      <c r="Q58" s="167" t="s">
        <v>18</v>
      </c>
      <c r="R58" s="168"/>
      <c r="S58" s="38"/>
      <c r="T58" s="175">
        <f t="shared" si="11"/>
        <v>52.5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52.5</v>
      </c>
      <c r="F59" s="167" t="s">
        <v>18</v>
      </c>
      <c r="G59" s="168"/>
      <c r="H59" s="38"/>
      <c r="I59" s="175">
        <f t="shared" si="9"/>
        <v>52.5</v>
      </c>
      <c r="J59" s="176"/>
      <c r="M59" s="166" t="s">
        <v>18</v>
      </c>
      <c r="N59" s="166"/>
      <c r="O59" s="41"/>
      <c r="P59" s="40">
        <f t="shared" si="10"/>
        <v>52.5</v>
      </c>
      <c r="Q59" s="167" t="s">
        <v>18</v>
      </c>
      <c r="R59" s="168"/>
      <c r="S59" s="38"/>
      <c r="T59" s="175">
        <f t="shared" si="11"/>
        <v>52.5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52.5</v>
      </c>
      <c r="F60" s="167" t="s">
        <v>18</v>
      </c>
      <c r="G60" s="168"/>
      <c r="H60" s="38"/>
      <c r="I60" s="175">
        <f t="shared" si="9"/>
        <v>52.5</v>
      </c>
      <c r="J60" s="176"/>
      <c r="M60" s="166" t="s">
        <v>19</v>
      </c>
      <c r="N60" s="166"/>
      <c r="O60" s="41"/>
      <c r="P60" s="40">
        <f t="shared" si="10"/>
        <v>52.5</v>
      </c>
      <c r="Q60" s="167" t="s">
        <v>18</v>
      </c>
      <c r="R60" s="168"/>
      <c r="S60" s="38"/>
      <c r="T60" s="175">
        <f t="shared" si="11"/>
        <v>52.5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52.5</v>
      </c>
      <c r="F61" s="167" t="s">
        <v>18</v>
      </c>
      <c r="G61" s="168"/>
      <c r="H61" s="38"/>
      <c r="I61" s="175">
        <f t="shared" si="9"/>
        <v>52.5</v>
      </c>
      <c r="J61" s="176"/>
      <c r="M61" s="166" t="s">
        <v>18</v>
      </c>
      <c r="N61" s="166"/>
      <c r="O61" s="41"/>
      <c r="P61" s="40">
        <f t="shared" si="10"/>
        <v>52.5</v>
      </c>
      <c r="Q61" s="167" t="s">
        <v>18</v>
      </c>
      <c r="R61" s="168"/>
      <c r="S61" s="38"/>
      <c r="T61" s="175">
        <f t="shared" si="11"/>
        <v>52.5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52.5</v>
      </c>
      <c r="F62" s="167" t="s">
        <v>18</v>
      </c>
      <c r="G62" s="168"/>
      <c r="H62" s="38"/>
      <c r="I62" s="175">
        <f t="shared" si="9"/>
        <v>52.5</v>
      </c>
      <c r="J62" s="176"/>
      <c r="M62" s="166" t="s">
        <v>18</v>
      </c>
      <c r="N62" s="166"/>
      <c r="O62" s="41"/>
      <c r="P62" s="40">
        <f t="shared" si="10"/>
        <v>52.5</v>
      </c>
      <c r="Q62" s="167" t="s">
        <v>18</v>
      </c>
      <c r="R62" s="168"/>
      <c r="S62" s="38"/>
      <c r="T62" s="175">
        <f t="shared" si="11"/>
        <v>52.5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52.5</v>
      </c>
      <c r="F63" s="167" t="s">
        <v>18</v>
      </c>
      <c r="G63" s="168"/>
      <c r="H63" s="38"/>
      <c r="I63" s="175">
        <f t="shared" si="9"/>
        <v>52.5</v>
      </c>
      <c r="J63" s="176"/>
      <c r="M63" s="166" t="s">
        <v>18</v>
      </c>
      <c r="N63" s="166"/>
      <c r="O63" s="41"/>
      <c r="P63" s="40">
        <f t="shared" si="10"/>
        <v>52.5</v>
      </c>
      <c r="Q63" s="167" t="s">
        <v>18</v>
      </c>
      <c r="R63" s="168"/>
      <c r="S63" s="38"/>
      <c r="T63" s="175">
        <f t="shared" si="11"/>
        <v>52.5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52.5</v>
      </c>
      <c r="F64" s="167" t="s">
        <v>18</v>
      </c>
      <c r="G64" s="168"/>
      <c r="H64" s="38"/>
      <c r="I64" s="175">
        <f t="shared" si="9"/>
        <v>52.5</v>
      </c>
      <c r="J64" s="176"/>
      <c r="M64" s="166" t="s">
        <v>18</v>
      </c>
      <c r="N64" s="166"/>
      <c r="O64" s="41"/>
      <c r="P64" s="40">
        <f t="shared" si="10"/>
        <v>52.5</v>
      </c>
      <c r="Q64" s="167" t="s">
        <v>18</v>
      </c>
      <c r="R64" s="168"/>
      <c r="S64" s="38"/>
      <c r="T64" s="175">
        <f t="shared" si="11"/>
        <v>52.5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1B7F-BE1B-49B3-AB8C-489514D5863B}">
  <sheetPr>
    <tabColor rgb="FFFFFF00"/>
  </sheetPr>
  <dimension ref="A1:U64"/>
  <sheetViews>
    <sheetView showGridLines="0" workbookViewId="0">
      <selection activeCell="H34" sqref="H34"/>
    </sheetView>
  </sheetViews>
  <sheetFormatPr defaultRowHeight="15" x14ac:dyDescent="0.25"/>
  <sheetData>
    <row r="1" spans="1:21" x14ac:dyDescent="0.25">
      <c r="A1" s="195">
        <v>46235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23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23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40</v>
      </c>
      <c r="F20" s="192"/>
      <c r="G20" s="194">
        <f>E20-(E22/2)</f>
        <v>33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40</v>
      </c>
      <c r="F21" s="192"/>
      <c r="G21" s="194">
        <f>E21-(E22/2)</f>
        <v>33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14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258</v>
      </c>
      <c r="C27" s="184"/>
      <c r="D27" s="184"/>
      <c r="E27" s="184"/>
      <c r="F27" s="184"/>
      <c r="G27" s="184"/>
      <c r="H27" s="184"/>
      <c r="I27" s="184"/>
      <c r="J27" s="185"/>
      <c r="M27" s="186" t="s">
        <v>259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</v>
      </c>
      <c r="E29" s="35">
        <f>B29+D29</f>
        <v>30</v>
      </c>
      <c r="F29" s="177">
        <f>$E$19</f>
        <v>30</v>
      </c>
      <c r="G29" s="178"/>
      <c r="H29" s="34">
        <v>0.2</v>
      </c>
      <c r="I29" s="175">
        <f>F29+H29</f>
        <v>30.2</v>
      </c>
      <c r="J29" s="176"/>
      <c r="M29" s="179">
        <f>$E$18</f>
        <v>30</v>
      </c>
      <c r="N29" s="180"/>
      <c r="O29" s="36">
        <v>0.55000000000000004</v>
      </c>
      <c r="P29" s="37">
        <f>M29+O29</f>
        <v>30.55</v>
      </c>
      <c r="Q29" s="179">
        <f>$E$19</f>
        <v>30</v>
      </c>
      <c r="R29" s="180"/>
      <c r="S29" s="36">
        <v>0</v>
      </c>
      <c r="T29" s="181">
        <f>Q29+S29</f>
        <v>30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40</v>
      </c>
      <c r="F31" s="167" t="s">
        <v>16</v>
      </c>
      <c r="G31" s="168"/>
      <c r="H31" s="34">
        <v>0.1</v>
      </c>
      <c r="I31" s="175">
        <f t="shared" ref="I31:I38" si="1">$E$21+H31</f>
        <v>40.1</v>
      </c>
      <c r="J31" s="176"/>
      <c r="M31" s="166" t="s">
        <v>260</v>
      </c>
      <c r="N31" s="166"/>
      <c r="O31" s="39">
        <v>0</v>
      </c>
      <c r="P31" s="40">
        <f t="shared" ref="P31:P38" si="2">$E$20+O31</f>
        <v>40</v>
      </c>
      <c r="Q31" s="167" t="s">
        <v>260</v>
      </c>
      <c r="R31" s="168"/>
      <c r="S31" s="34">
        <v>0.1</v>
      </c>
      <c r="T31" s="175">
        <f t="shared" ref="T31:T38" si="3">$E$21+S31</f>
        <v>40.1</v>
      </c>
      <c r="U31" s="176"/>
    </row>
    <row r="32" spans="1:21" ht="15.75" x14ac:dyDescent="0.25">
      <c r="A32" s="23"/>
      <c r="B32" s="166" t="s">
        <v>18</v>
      </c>
      <c r="C32" s="166"/>
      <c r="D32" s="41">
        <v>0</v>
      </c>
      <c r="E32" s="40">
        <f t="shared" si="0"/>
        <v>40</v>
      </c>
      <c r="F32" s="167" t="s">
        <v>18</v>
      </c>
      <c r="G32" s="168"/>
      <c r="H32" s="38">
        <v>0</v>
      </c>
      <c r="I32" s="175">
        <f t="shared" si="1"/>
        <v>40</v>
      </c>
      <c r="J32" s="176"/>
      <c r="M32" s="166" t="s">
        <v>261</v>
      </c>
      <c r="N32" s="166"/>
      <c r="O32" s="41">
        <v>0</v>
      </c>
      <c r="P32" s="40">
        <f t="shared" si="2"/>
        <v>40</v>
      </c>
      <c r="Q32" s="167" t="s">
        <v>261</v>
      </c>
      <c r="R32" s="168"/>
      <c r="S32" s="38">
        <v>0.1</v>
      </c>
      <c r="T32" s="175">
        <f t="shared" si="3"/>
        <v>40.1</v>
      </c>
      <c r="U32" s="176"/>
    </row>
    <row r="33" spans="1:21" ht="15.75" x14ac:dyDescent="0.25">
      <c r="A33" s="23"/>
      <c r="B33" s="166" t="s">
        <v>18</v>
      </c>
      <c r="C33" s="166"/>
      <c r="D33" s="41">
        <v>0.1</v>
      </c>
      <c r="E33" s="40">
        <f t="shared" si="0"/>
        <v>40.1</v>
      </c>
      <c r="F33" s="167" t="s">
        <v>18</v>
      </c>
      <c r="G33" s="168"/>
      <c r="H33" s="38">
        <v>0.1</v>
      </c>
      <c r="I33" s="175">
        <f t="shared" si="1"/>
        <v>40.1</v>
      </c>
      <c r="J33" s="176"/>
      <c r="M33" s="166" t="s">
        <v>18</v>
      </c>
      <c r="N33" s="166"/>
      <c r="O33" s="41">
        <v>0</v>
      </c>
      <c r="P33" s="40">
        <f t="shared" si="2"/>
        <v>40</v>
      </c>
      <c r="Q33" s="167" t="s">
        <v>18</v>
      </c>
      <c r="R33" s="168"/>
      <c r="S33" s="38">
        <v>0</v>
      </c>
      <c r="T33" s="175">
        <f t="shared" si="3"/>
        <v>40</v>
      </c>
      <c r="U33" s="176"/>
    </row>
    <row r="34" spans="1:21" ht="15.75" x14ac:dyDescent="0.25">
      <c r="A34" s="23"/>
      <c r="B34" s="166" t="s">
        <v>19</v>
      </c>
      <c r="C34" s="166"/>
      <c r="D34" s="41">
        <v>0</v>
      </c>
      <c r="E34" s="40">
        <f t="shared" si="0"/>
        <v>40</v>
      </c>
      <c r="F34" s="167" t="s">
        <v>18</v>
      </c>
      <c r="G34" s="168"/>
      <c r="H34" s="38">
        <v>0</v>
      </c>
      <c r="I34" s="175">
        <f t="shared" si="1"/>
        <v>40</v>
      </c>
      <c r="J34" s="176"/>
      <c r="M34" s="166" t="s">
        <v>19</v>
      </c>
      <c r="N34" s="166"/>
      <c r="O34" s="41">
        <v>0</v>
      </c>
      <c r="P34" s="40">
        <f t="shared" si="2"/>
        <v>40</v>
      </c>
      <c r="Q34" s="167" t="s">
        <v>18</v>
      </c>
      <c r="R34" s="168"/>
      <c r="S34" s="38">
        <v>0</v>
      </c>
      <c r="T34" s="175">
        <f t="shared" si="3"/>
        <v>40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40</v>
      </c>
      <c r="F35" s="167" t="s">
        <v>18</v>
      </c>
      <c r="G35" s="168"/>
      <c r="H35" s="38"/>
      <c r="I35" s="175">
        <f t="shared" si="1"/>
        <v>40</v>
      </c>
      <c r="J35" s="176"/>
      <c r="M35" s="166" t="s">
        <v>18</v>
      </c>
      <c r="N35" s="166"/>
      <c r="O35" s="41"/>
      <c r="P35" s="40">
        <f t="shared" si="2"/>
        <v>40</v>
      </c>
      <c r="Q35" s="167" t="s">
        <v>18</v>
      </c>
      <c r="R35" s="168"/>
      <c r="S35" s="38"/>
      <c r="T35" s="175">
        <f t="shared" si="3"/>
        <v>40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40</v>
      </c>
      <c r="F36" s="167" t="s">
        <v>18</v>
      </c>
      <c r="G36" s="168"/>
      <c r="H36" s="38"/>
      <c r="I36" s="175">
        <f t="shared" si="1"/>
        <v>40</v>
      </c>
      <c r="J36" s="176"/>
      <c r="M36" s="166" t="s">
        <v>18</v>
      </c>
      <c r="N36" s="166"/>
      <c r="O36" s="41"/>
      <c r="P36" s="40">
        <f t="shared" si="2"/>
        <v>40</v>
      </c>
      <c r="Q36" s="167" t="s">
        <v>18</v>
      </c>
      <c r="R36" s="168"/>
      <c r="S36" s="38"/>
      <c r="T36" s="175">
        <f t="shared" si="3"/>
        <v>40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40</v>
      </c>
      <c r="F37" s="167" t="s">
        <v>18</v>
      </c>
      <c r="G37" s="168"/>
      <c r="H37" s="38"/>
      <c r="I37" s="175">
        <f t="shared" si="1"/>
        <v>40</v>
      </c>
      <c r="J37" s="176"/>
      <c r="M37" s="166" t="s">
        <v>18</v>
      </c>
      <c r="N37" s="166"/>
      <c r="O37" s="41"/>
      <c r="P37" s="40">
        <f t="shared" si="2"/>
        <v>40</v>
      </c>
      <c r="Q37" s="167" t="s">
        <v>18</v>
      </c>
      <c r="R37" s="168"/>
      <c r="S37" s="38"/>
      <c r="T37" s="175">
        <f t="shared" si="3"/>
        <v>40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40</v>
      </c>
      <c r="F38" s="167" t="s">
        <v>18</v>
      </c>
      <c r="G38" s="168"/>
      <c r="H38" s="38"/>
      <c r="I38" s="175">
        <f t="shared" si="1"/>
        <v>40</v>
      </c>
      <c r="J38" s="176"/>
      <c r="M38" s="166" t="s">
        <v>18</v>
      </c>
      <c r="N38" s="166"/>
      <c r="O38" s="41"/>
      <c r="P38" s="40">
        <f t="shared" si="2"/>
        <v>40</v>
      </c>
      <c r="Q38" s="167" t="s">
        <v>18</v>
      </c>
      <c r="R38" s="168"/>
      <c r="S38" s="38"/>
      <c r="T38" s="175">
        <f t="shared" si="3"/>
        <v>40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40</v>
      </c>
      <c r="F44" s="167" t="s">
        <v>16</v>
      </c>
      <c r="G44" s="168"/>
      <c r="H44" s="34"/>
      <c r="I44" s="175">
        <f t="shared" ref="I44:I51" si="5">$E$21+H44</f>
        <v>40</v>
      </c>
      <c r="J44" s="176"/>
      <c r="M44" s="166" t="s">
        <v>17</v>
      </c>
      <c r="N44" s="166"/>
      <c r="O44" s="39"/>
      <c r="P44" s="40">
        <f t="shared" ref="P44:P51" si="6">$E$20+O44</f>
        <v>40</v>
      </c>
      <c r="Q44" s="167" t="s">
        <v>17</v>
      </c>
      <c r="R44" s="168"/>
      <c r="S44" s="34"/>
      <c r="T44" s="175">
        <f t="shared" ref="T44:T51" si="7">$E$21+S44</f>
        <v>40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40</v>
      </c>
      <c r="F45" s="167" t="s">
        <v>18</v>
      </c>
      <c r="G45" s="168"/>
      <c r="H45" s="38"/>
      <c r="I45" s="175">
        <f t="shared" si="5"/>
        <v>40</v>
      </c>
      <c r="J45" s="176"/>
      <c r="M45" s="166" t="s">
        <v>18</v>
      </c>
      <c r="N45" s="166"/>
      <c r="O45" s="41"/>
      <c r="P45" s="40">
        <f t="shared" si="6"/>
        <v>40</v>
      </c>
      <c r="Q45" s="167" t="s">
        <v>18</v>
      </c>
      <c r="R45" s="168"/>
      <c r="S45" s="38"/>
      <c r="T45" s="175">
        <f t="shared" si="7"/>
        <v>40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40</v>
      </c>
      <c r="F46" s="167" t="s">
        <v>18</v>
      </c>
      <c r="G46" s="168"/>
      <c r="H46" s="38"/>
      <c r="I46" s="175">
        <f t="shared" si="5"/>
        <v>40</v>
      </c>
      <c r="J46" s="176"/>
      <c r="M46" s="166" t="s">
        <v>18</v>
      </c>
      <c r="N46" s="166"/>
      <c r="O46" s="41"/>
      <c r="P46" s="40">
        <f t="shared" si="6"/>
        <v>40</v>
      </c>
      <c r="Q46" s="167" t="s">
        <v>18</v>
      </c>
      <c r="R46" s="168"/>
      <c r="S46" s="38"/>
      <c r="T46" s="175">
        <f t="shared" si="7"/>
        <v>40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40</v>
      </c>
      <c r="F47" s="167" t="s">
        <v>18</v>
      </c>
      <c r="G47" s="168"/>
      <c r="H47" s="38"/>
      <c r="I47" s="175">
        <f t="shared" si="5"/>
        <v>40</v>
      </c>
      <c r="J47" s="176"/>
      <c r="M47" s="166" t="s">
        <v>19</v>
      </c>
      <c r="N47" s="166"/>
      <c r="O47" s="41"/>
      <c r="P47" s="40">
        <f t="shared" si="6"/>
        <v>40</v>
      </c>
      <c r="Q47" s="167" t="s">
        <v>18</v>
      </c>
      <c r="R47" s="168"/>
      <c r="S47" s="38"/>
      <c r="T47" s="175">
        <f t="shared" si="7"/>
        <v>40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40</v>
      </c>
      <c r="F48" s="167" t="s">
        <v>18</v>
      </c>
      <c r="G48" s="168"/>
      <c r="H48" s="38"/>
      <c r="I48" s="175">
        <f t="shared" si="5"/>
        <v>40</v>
      </c>
      <c r="J48" s="176"/>
      <c r="M48" s="166" t="s">
        <v>18</v>
      </c>
      <c r="N48" s="166"/>
      <c r="O48" s="41"/>
      <c r="P48" s="40">
        <f t="shared" si="6"/>
        <v>40</v>
      </c>
      <c r="Q48" s="167" t="s">
        <v>18</v>
      </c>
      <c r="R48" s="168"/>
      <c r="S48" s="38"/>
      <c r="T48" s="175">
        <f t="shared" si="7"/>
        <v>40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40</v>
      </c>
      <c r="F49" s="167" t="s">
        <v>18</v>
      </c>
      <c r="G49" s="168"/>
      <c r="H49" s="38"/>
      <c r="I49" s="175">
        <f t="shared" si="5"/>
        <v>40</v>
      </c>
      <c r="J49" s="176"/>
      <c r="M49" s="166" t="s">
        <v>18</v>
      </c>
      <c r="N49" s="166"/>
      <c r="O49" s="41"/>
      <c r="P49" s="40">
        <f t="shared" si="6"/>
        <v>40</v>
      </c>
      <c r="Q49" s="167" t="s">
        <v>18</v>
      </c>
      <c r="R49" s="168"/>
      <c r="S49" s="38"/>
      <c r="T49" s="175">
        <f t="shared" si="7"/>
        <v>40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40</v>
      </c>
      <c r="F50" s="167" t="s">
        <v>18</v>
      </c>
      <c r="G50" s="168"/>
      <c r="H50" s="38"/>
      <c r="I50" s="175">
        <f t="shared" si="5"/>
        <v>40</v>
      </c>
      <c r="J50" s="176"/>
      <c r="M50" s="166" t="s">
        <v>18</v>
      </c>
      <c r="N50" s="166"/>
      <c r="O50" s="41"/>
      <c r="P50" s="40">
        <f t="shared" si="6"/>
        <v>40</v>
      </c>
      <c r="Q50" s="167" t="s">
        <v>18</v>
      </c>
      <c r="R50" s="168"/>
      <c r="S50" s="38"/>
      <c r="T50" s="175">
        <f t="shared" si="7"/>
        <v>40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40</v>
      </c>
      <c r="F51" s="167" t="s">
        <v>18</v>
      </c>
      <c r="G51" s="168"/>
      <c r="H51" s="38"/>
      <c r="I51" s="175">
        <f t="shared" si="5"/>
        <v>40</v>
      </c>
      <c r="J51" s="176"/>
      <c r="M51" s="166" t="s">
        <v>18</v>
      </c>
      <c r="N51" s="166"/>
      <c r="O51" s="41"/>
      <c r="P51" s="40">
        <f t="shared" si="6"/>
        <v>40</v>
      </c>
      <c r="Q51" s="167" t="s">
        <v>18</v>
      </c>
      <c r="R51" s="168"/>
      <c r="S51" s="38"/>
      <c r="T51" s="175">
        <f t="shared" si="7"/>
        <v>40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40</v>
      </c>
      <c r="F57" s="167" t="s">
        <v>16</v>
      </c>
      <c r="G57" s="168"/>
      <c r="H57" s="34"/>
      <c r="I57" s="175">
        <f t="shared" ref="I57:I64" si="9">$E$21+H57</f>
        <v>40</v>
      </c>
      <c r="J57" s="176"/>
      <c r="M57" s="166" t="s">
        <v>17</v>
      </c>
      <c r="N57" s="166"/>
      <c r="O57" s="39"/>
      <c r="P57" s="40">
        <f t="shared" ref="P57:P64" si="10">$E$20+O57</f>
        <v>40</v>
      </c>
      <c r="Q57" s="167" t="s">
        <v>17</v>
      </c>
      <c r="R57" s="168"/>
      <c r="S57" s="34"/>
      <c r="T57" s="175">
        <f t="shared" ref="T57:T64" si="11">$E$21+S57</f>
        <v>40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40</v>
      </c>
      <c r="F58" s="167" t="s">
        <v>18</v>
      </c>
      <c r="G58" s="168"/>
      <c r="H58" s="38"/>
      <c r="I58" s="175">
        <f t="shared" si="9"/>
        <v>40</v>
      </c>
      <c r="J58" s="176"/>
      <c r="M58" s="166" t="s">
        <v>18</v>
      </c>
      <c r="N58" s="166"/>
      <c r="O58" s="41"/>
      <c r="P58" s="40">
        <f t="shared" si="10"/>
        <v>40</v>
      </c>
      <c r="Q58" s="167" t="s">
        <v>18</v>
      </c>
      <c r="R58" s="168"/>
      <c r="S58" s="38"/>
      <c r="T58" s="175">
        <f t="shared" si="11"/>
        <v>40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40</v>
      </c>
      <c r="F59" s="167" t="s">
        <v>18</v>
      </c>
      <c r="G59" s="168"/>
      <c r="H59" s="38"/>
      <c r="I59" s="175">
        <f t="shared" si="9"/>
        <v>40</v>
      </c>
      <c r="J59" s="176"/>
      <c r="M59" s="166" t="s">
        <v>18</v>
      </c>
      <c r="N59" s="166"/>
      <c r="O59" s="41"/>
      <c r="P59" s="40">
        <f t="shared" si="10"/>
        <v>40</v>
      </c>
      <c r="Q59" s="167" t="s">
        <v>18</v>
      </c>
      <c r="R59" s="168"/>
      <c r="S59" s="38"/>
      <c r="T59" s="175">
        <f t="shared" si="11"/>
        <v>40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40</v>
      </c>
      <c r="F60" s="167" t="s">
        <v>18</v>
      </c>
      <c r="G60" s="168"/>
      <c r="H60" s="38"/>
      <c r="I60" s="175">
        <f t="shared" si="9"/>
        <v>40</v>
      </c>
      <c r="J60" s="176"/>
      <c r="M60" s="166" t="s">
        <v>19</v>
      </c>
      <c r="N60" s="166"/>
      <c r="O60" s="41"/>
      <c r="P60" s="40">
        <f t="shared" si="10"/>
        <v>40</v>
      </c>
      <c r="Q60" s="167" t="s">
        <v>18</v>
      </c>
      <c r="R60" s="168"/>
      <c r="S60" s="38"/>
      <c r="T60" s="175">
        <f t="shared" si="11"/>
        <v>40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40</v>
      </c>
      <c r="F61" s="167" t="s">
        <v>18</v>
      </c>
      <c r="G61" s="168"/>
      <c r="H61" s="38"/>
      <c r="I61" s="175">
        <f t="shared" si="9"/>
        <v>40</v>
      </c>
      <c r="J61" s="176"/>
      <c r="M61" s="166" t="s">
        <v>18</v>
      </c>
      <c r="N61" s="166"/>
      <c r="O61" s="41"/>
      <c r="P61" s="40">
        <f t="shared" si="10"/>
        <v>40</v>
      </c>
      <c r="Q61" s="167" t="s">
        <v>18</v>
      </c>
      <c r="R61" s="168"/>
      <c r="S61" s="38"/>
      <c r="T61" s="175">
        <f t="shared" si="11"/>
        <v>40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40</v>
      </c>
      <c r="F62" s="167" t="s">
        <v>18</v>
      </c>
      <c r="G62" s="168"/>
      <c r="H62" s="38"/>
      <c r="I62" s="175">
        <f t="shared" si="9"/>
        <v>40</v>
      </c>
      <c r="J62" s="176"/>
      <c r="M62" s="166" t="s">
        <v>18</v>
      </c>
      <c r="N62" s="166"/>
      <c r="O62" s="41"/>
      <c r="P62" s="40">
        <f t="shared" si="10"/>
        <v>40</v>
      </c>
      <c r="Q62" s="167" t="s">
        <v>18</v>
      </c>
      <c r="R62" s="168"/>
      <c r="S62" s="38"/>
      <c r="T62" s="175">
        <f t="shared" si="11"/>
        <v>40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40</v>
      </c>
      <c r="F63" s="167" t="s">
        <v>18</v>
      </c>
      <c r="G63" s="168"/>
      <c r="H63" s="38"/>
      <c r="I63" s="175">
        <f t="shared" si="9"/>
        <v>40</v>
      </c>
      <c r="J63" s="176"/>
      <c r="M63" s="166" t="s">
        <v>18</v>
      </c>
      <c r="N63" s="166"/>
      <c r="O63" s="41"/>
      <c r="P63" s="40">
        <f t="shared" si="10"/>
        <v>40</v>
      </c>
      <c r="Q63" s="167" t="s">
        <v>18</v>
      </c>
      <c r="R63" s="168"/>
      <c r="S63" s="38"/>
      <c r="T63" s="175">
        <f t="shared" si="11"/>
        <v>40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40</v>
      </c>
      <c r="F64" s="167" t="s">
        <v>18</v>
      </c>
      <c r="G64" s="168"/>
      <c r="H64" s="38"/>
      <c r="I64" s="175">
        <f t="shared" si="9"/>
        <v>40</v>
      </c>
      <c r="J64" s="176"/>
      <c r="M64" s="166" t="s">
        <v>18</v>
      </c>
      <c r="N64" s="166"/>
      <c r="O64" s="41"/>
      <c r="P64" s="40">
        <f t="shared" si="10"/>
        <v>40</v>
      </c>
      <c r="Q64" s="167" t="s">
        <v>18</v>
      </c>
      <c r="R64" s="168"/>
      <c r="S64" s="38"/>
      <c r="T64" s="175">
        <f t="shared" si="11"/>
        <v>40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ECE3-01AF-45A3-B88A-8AC9F5A55F17}">
  <sheetPr>
    <tabColor rgb="FFFF0000"/>
  </sheetPr>
  <dimension ref="A1:BX45"/>
  <sheetViews>
    <sheetView workbookViewId="0">
      <pane ySplit="2" topLeftCell="A8" activePane="bottomLeft" state="frozen"/>
      <selection pane="bottomLeft" activeCell="A9" sqref="A9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9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4714301004</v>
      </c>
      <c r="C3" s="46"/>
      <c r="D3" s="46">
        <v>93164</v>
      </c>
      <c r="E3" s="46" t="s">
        <v>197</v>
      </c>
      <c r="F3" s="46">
        <v>1</v>
      </c>
      <c r="G3" s="46">
        <v>56021</v>
      </c>
      <c r="H3" s="46" t="s">
        <v>262</v>
      </c>
      <c r="I3" s="46" t="s">
        <v>166</v>
      </c>
      <c r="J3" s="46"/>
      <c r="K3" s="46"/>
      <c r="L3" s="48">
        <v>0.58333333333333337</v>
      </c>
      <c r="M3" s="46">
        <v>50</v>
      </c>
      <c r="N3" s="46">
        <v>50</v>
      </c>
      <c r="O3" s="46">
        <v>40</v>
      </c>
      <c r="P3" s="46">
        <v>40</v>
      </c>
      <c r="Q3" s="46" t="s">
        <v>263</v>
      </c>
      <c r="R3" s="48">
        <v>0.38194444444444442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/>
      <c r="B4" s="4">
        <v>4711901001</v>
      </c>
      <c r="C4" s="50">
        <v>46266</v>
      </c>
      <c r="D4" s="4">
        <v>93533</v>
      </c>
      <c r="E4" s="4" t="s">
        <v>210</v>
      </c>
      <c r="F4" s="101">
        <v>2000000</v>
      </c>
      <c r="G4" s="4">
        <v>57312</v>
      </c>
      <c r="H4" s="4" t="s">
        <v>264</v>
      </c>
      <c r="I4" s="4" t="s">
        <v>120</v>
      </c>
      <c r="J4" s="4">
        <v>1</v>
      </c>
      <c r="K4" s="4">
        <v>10102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90" customFormat="1" x14ac:dyDescent="0.25">
      <c r="A5" s="88"/>
      <c r="B5" s="88">
        <v>4712401001</v>
      </c>
      <c r="C5" s="89">
        <v>46266</v>
      </c>
      <c r="D5" s="88">
        <v>94328</v>
      </c>
      <c r="E5" s="88" t="s">
        <v>265</v>
      </c>
      <c r="F5" s="102">
        <v>2000000</v>
      </c>
      <c r="G5" s="88">
        <v>53419</v>
      </c>
      <c r="H5" s="88" t="s">
        <v>266</v>
      </c>
      <c r="I5" s="88" t="s">
        <v>120</v>
      </c>
      <c r="J5" s="88">
        <v>5</v>
      </c>
      <c r="K5" s="88">
        <v>10102</v>
      </c>
      <c r="L5" s="88"/>
      <c r="M5" s="88"/>
      <c r="N5" s="88"/>
      <c r="O5" s="88"/>
      <c r="P5" s="88"/>
      <c r="Q5" s="88"/>
      <c r="R5" s="88"/>
      <c r="S5" s="88"/>
      <c r="T5" s="88"/>
      <c r="U5" s="94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</row>
    <row r="6" spans="1:76" x14ac:dyDescent="0.25">
      <c r="B6" s="4">
        <v>4713001001</v>
      </c>
      <c r="C6" s="50">
        <v>46266</v>
      </c>
      <c r="D6" s="4">
        <v>94535</v>
      </c>
      <c r="E6" s="4" t="s">
        <v>267</v>
      </c>
      <c r="F6" s="101">
        <v>2000000</v>
      </c>
      <c r="G6" s="4">
        <v>54086</v>
      </c>
      <c r="H6" s="4" t="s">
        <v>268</v>
      </c>
      <c r="I6" s="4" t="s">
        <v>103</v>
      </c>
      <c r="J6" s="4">
        <v>2</v>
      </c>
      <c r="K6" s="4">
        <v>10107</v>
      </c>
      <c r="U6" s="66"/>
      <c r="V6" s="5"/>
      <c r="W6" s="5"/>
    </row>
    <row r="7" spans="1:76" x14ac:dyDescent="0.25">
      <c r="B7" s="4">
        <v>4718001001</v>
      </c>
      <c r="C7" s="50">
        <v>46266</v>
      </c>
      <c r="D7" s="4">
        <v>94538</v>
      </c>
      <c r="E7" s="4" t="s">
        <v>269</v>
      </c>
      <c r="F7" s="101">
        <v>2000000</v>
      </c>
      <c r="G7" s="4">
        <v>57825</v>
      </c>
      <c r="H7" s="4" t="s">
        <v>270</v>
      </c>
      <c r="I7" s="4" t="s">
        <v>96</v>
      </c>
      <c r="J7" s="4">
        <v>1</v>
      </c>
      <c r="K7" s="4">
        <v>10106</v>
      </c>
      <c r="U7" s="66"/>
      <c r="V7" s="5"/>
      <c r="W7" s="5"/>
    </row>
    <row r="8" spans="1:76" x14ac:dyDescent="0.25">
      <c r="B8" s="4">
        <v>4717801001</v>
      </c>
      <c r="C8" s="50">
        <v>46266</v>
      </c>
      <c r="D8" s="4">
        <v>94559</v>
      </c>
      <c r="E8" s="4" t="s">
        <v>271</v>
      </c>
      <c r="F8" s="101">
        <v>1000000</v>
      </c>
      <c r="G8" s="4">
        <v>57851</v>
      </c>
      <c r="H8" s="4" t="s">
        <v>272</v>
      </c>
      <c r="I8" s="4" t="s">
        <v>106</v>
      </c>
      <c r="J8" s="4">
        <v>1</v>
      </c>
      <c r="K8" s="4">
        <v>10108</v>
      </c>
      <c r="U8" s="67"/>
    </row>
    <row r="9" spans="1:76" s="49" customFormat="1" x14ac:dyDescent="0.25">
      <c r="A9" s="46"/>
      <c r="B9" s="46">
        <v>4718101001</v>
      </c>
      <c r="C9" s="47">
        <v>46266</v>
      </c>
      <c r="D9" s="46">
        <v>94563</v>
      </c>
      <c r="E9" s="46" t="s">
        <v>273</v>
      </c>
      <c r="F9" s="96">
        <v>1000000</v>
      </c>
      <c r="G9" s="46">
        <v>57857</v>
      </c>
      <c r="H9" s="46" t="s">
        <v>274</v>
      </c>
      <c r="I9" s="46"/>
      <c r="J9" s="46">
        <v>1</v>
      </c>
      <c r="K9" s="46">
        <v>10108</v>
      </c>
      <c r="L9" s="46"/>
      <c r="M9" s="46">
        <v>37</v>
      </c>
      <c r="N9" s="46">
        <v>15</v>
      </c>
      <c r="O9" s="46">
        <v>55</v>
      </c>
      <c r="P9" s="46">
        <v>55</v>
      </c>
      <c r="Q9" s="46"/>
      <c r="R9" s="46"/>
      <c r="S9" s="46"/>
      <c r="T9" s="46"/>
      <c r="U9" s="64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 s="49" customFormat="1" x14ac:dyDescent="0.25">
      <c r="A10" s="46"/>
      <c r="B10" s="46">
        <v>4714301005</v>
      </c>
      <c r="C10" s="46"/>
      <c r="D10" s="46">
        <v>93164</v>
      </c>
      <c r="E10" s="46" t="s">
        <v>197</v>
      </c>
      <c r="F10" s="46">
        <v>2</v>
      </c>
      <c r="G10" s="46">
        <v>57128</v>
      </c>
      <c r="H10" s="46" t="s">
        <v>275</v>
      </c>
      <c r="I10" s="46" t="s">
        <v>166</v>
      </c>
      <c r="J10" s="46"/>
      <c r="K10" s="46"/>
      <c r="L10" s="48">
        <v>0.625</v>
      </c>
      <c r="M10" s="46"/>
      <c r="N10" s="46"/>
      <c r="O10" s="46">
        <v>32</v>
      </c>
      <c r="P10" s="46">
        <v>24</v>
      </c>
      <c r="Q10" s="46" t="s">
        <v>276</v>
      </c>
      <c r="R10" s="48">
        <v>0.4236111111111111</v>
      </c>
      <c r="S10" s="46"/>
      <c r="T10" s="46"/>
      <c r="U10" s="64">
        <v>50</v>
      </c>
      <c r="V10" s="46">
        <v>50</v>
      </c>
      <c r="W10" s="46" t="s">
        <v>277</v>
      </c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/>
      <c r="B11" s="46">
        <v>4717501001</v>
      </c>
      <c r="C11" s="46"/>
      <c r="D11" s="46"/>
      <c r="E11" s="46" t="s">
        <v>278</v>
      </c>
      <c r="F11" s="46">
        <v>1</v>
      </c>
      <c r="G11" s="46">
        <v>57859</v>
      </c>
      <c r="H11" s="46" t="s">
        <v>279</v>
      </c>
      <c r="I11" s="46" t="s">
        <v>166</v>
      </c>
      <c r="J11" s="46"/>
      <c r="K11" s="46"/>
      <c r="L11" s="48">
        <v>0.4236111111111111</v>
      </c>
      <c r="M11" s="46">
        <v>8</v>
      </c>
      <c r="N11" s="46">
        <v>10</v>
      </c>
      <c r="O11" s="46">
        <v>33</v>
      </c>
      <c r="P11" s="46">
        <v>33</v>
      </c>
      <c r="Q11" s="46" t="s">
        <v>280</v>
      </c>
      <c r="R11" s="48">
        <v>0.56944444444444442</v>
      </c>
      <c r="S11" s="46"/>
      <c r="T11" s="46"/>
      <c r="U11" s="64"/>
      <c r="V11" s="46"/>
      <c r="W11" s="46"/>
      <c r="X11" s="48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s="49" customFormat="1" x14ac:dyDescent="0.25">
      <c r="A12" s="46"/>
      <c r="B12" s="46">
        <v>4714901001</v>
      </c>
      <c r="C12" s="46"/>
      <c r="D12" s="46">
        <v>93552</v>
      </c>
      <c r="E12" s="46" t="s">
        <v>281</v>
      </c>
      <c r="F12" s="46"/>
      <c r="G12" s="46">
        <v>57337</v>
      </c>
      <c r="H12" s="46" t="s">
        <v>282</v>
      </c>
      <c r="I12" s="46"/>
      <c r="J12" s="46"/>
      <c r="K12" s="46"/>
      <c r="L12" s="46"/>
      <c r="M12" s="46">
        <v>50</v>
      </c>
      <c r="N12" s="46">
        <v>22</v>
      </c>
      <c r="O12" s="46">
        <v>25</v>
      </c>
      <c r="P12" s="46">
        <v>25</v>
      </c>
      <c r="Q12" s="46" t="s">
        <v>283</v>
      </c>
      <c r="R12" s="46"/>
      <c r="S12" s="46">
        <v>50</v>
      </c>
      <c r="T12" s="46">
        <v>46</v>
      </c>
      <c r="U12" s="64">
        <v>50</v>
      </c>
      <c r="V12" s="46">
        <v>50</v>
      </c>
      <c r="W12" s="46" t="s">
        <v>284</v>
      </c>
      <c r="X12" s="46"/>
      <c r="Y12" s="46">
        <v>45</v>
      </c>
      <c r="Z12" s="46">
        <v>19</v>
      </c>
      <c r="AA12" s="46">
        <v>21</v>
      </c>
      <c r="AB12" s="46">
        <v>21</v>
      </c>
      <c r="AC12" s="46" t="s">
        <v>285</v>
      </c>
      <c r="AD12" s="48">
        <v>0.68402777777777779</v>
      </c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x14ac:dyDescent="0.25">
      <c r="U13" s="21"/>
    </row>
    <row r="14" spans="1:76" x14ac:dyDescent="0.25">
      <c r="U14" s="21"/>
    </row>
    <row r="15" spans="1:76" x14ac:dyDescent="0.25">
      <c r="U15" s="21"/>
    </row>
    <row r="16" spans="1:76" x14ac:dyDescent="0.25">
      <c r="U16" s="21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s="63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2"/>
      <c r="U30" s="68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</row>
    <row r="31" spans="1:76" s="61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0"/>
      <c r="U31" s="6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6A6F-7F32-41A1-8EB1-3ADC27998142}">
  <sheetPr>
    <tabColor rgb="FFFF0000"/>
  </sheetPr>
  <dimension ref="A1:BX45"/>
  <sheetViews>
    <sheetView workbookViewId="0">
      <pane ySplit="2" topLeftCell="A3" activePane="bottomLeft" state="frozen"/>
      <selection pane="bottomLeft" activeCell="A16" sqref="A16"/>
    </sheetView>
  </sheetViews>
  <sheetFormatPr defaultRowHeight="15" x14ac:dyDescent="0.25"/>
  <cols>
    <col min="1" max="1" width="19.1406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4714301006</v>
      </c>
      <c r="C3" s="46"/>
      <c r="D3" s="46">
        <v>93164</v>
      </c>
      <c r="E3" s="46" t="s">
        <v>286</v>
      </c>
      <c r="F3" s="46">
        <v>1</v>
      </c>
      <c r="G3" s="46">
        <v>56428</v>
      </c>
      <c r="H3" s="46" t="s">
        <v>287</v>
      </c>
      <c r="I3" s="46"/>
      <c r="J3" s="46"/>
      <c r="K3" s="46"/>
      <c r="L3" s="48">
        <v>0.4375</v>
      </c>
      <c r="M3" s="46">
        <v>16</v>
      </c>
      <c r="N3" s="46">
        <v>25</v>
      </c>
      <c r="O3" s="46">
        <v>48</v>
      </c>
      <c r="P3" s="46">
        <v>48</v>
      </c>
      <c r="Q3" s="46" t="s">
        <v>288</v>
      </c>
      <c r="R3" s="48">
        <v>0.39583333333333331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/>
      <c r="B4" s="4"/>
      <c r="C4" s="50">
        <v>46357</v>
      </c>
      <c r="D4" s="4">
        <v>93279</v>
      </c>
      <c r="E4" s="4" t="s">
        <v>289</v>
      </c>
      <c r="F4" s="4" t="s">
        <v>94</v>
      </c>
      <c r="G4" s="4">
        <v>57199</v>
      </c>
      <c r="H4" s="4" t="s">
        <v>290</v>
      </c>
      <c r="I4" s="4" t="s">
        <v>120</v>
      </c>
      <c r="J4" s="4">
        <v>1</v>
      </c>
      <c r="K4" s="4">
        <v>10102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3" customFormat="1" x14ac:dyDescent="0.25">
      <c r="A5" s="4"/>
      <c r="B5" s="4">
        <v>4714401001</v>
      </c>
      <c r="C5" s="50">
        <v>46357</v>
      </c>
      <c r="D5" s="4">
        <v>93376</v>
      </c>
      <c r="E5" s="4" t="s">
        <v>115</v>
      </c>
      <c r="F5" s="4" t="s">
        <v>116</v>
      </c>
      <c r="G5" s="4">
        <v>54130</v>
      </c>
      <c r="H5" s="4" t="s">
        <v>117</v>
      </c>
      <c r="I5" s="4" t="s">
        <v>99</v>
      </c>
      <c r="J5" s="4">
        <v>1</v>
      </c>
      <c r="K5" s="4">
        <v>10105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B6" s="4">
        <v>4714801001</v>
      </c>
      <c r="C6" s="50">
        <v>46357</v>
      </c>
      <c r="D6" s="4">
        <v>93548</v>
      </c>
      <c r="E6" s="4" t="s">
        <v>118</v>
      </c>
      <c r="F6" s="4" t="s">
        <v>110</v>
      </c>
      <c r="G6" s="4">
        <v>38992</v>
      </c>
      <c r="H6" s="4" t="s">
        <v>119</v>
      </c>
      <c r="I6" s="4" t="s">
        <v>120</v>
      </c>
      <c r="J6" s="4">
        <v>1</v>
      </c>
      <c r="K6" s="4">
        <v>10104</v>
      </c>
      <c r="U6" s="21"/>
    </row>
    <row r="7" spans="1:76" s="90" customFormat="1" x14ac:dyDescent="0.25">
      <c r="A7" s="88" t="s">
        <v>291</v>
      </c>
      <c r="B7" s="88">
        <v>4687201006</v>
      </c>
      <c r="C7" s="89">
        <v>46357</v>
      </c>
      <c r="D7" s="88">
        <v>93604</v>
      </c>
      <c r="E7" s="88" t="s">
        <v>292</v>
      </c>
      <c r="F7" s="88" t="s">
        <v>125</v>
      </c>
      <c r="G7" s="88">
        <v>57868</v>
      </c>
      <c r="H7" s="88" t="s">
        <v>293</v>
      </c>
      <c r="I7" s="88" t="s">
        <v>120</v>
      </c>
      <c r="J7" s="88">
        <v>1</v>
      </c>
      <c r="K7" s="88">
        <v>10111</v>
      </c>
      <c r="L7" s="88"/>
      <c r="M7" s="88">
        <v>24</v>
      </c>
      <c r="N7" s="88">
        <v>29</v>
      </c>
      <c r="O7" s="88">
        <v>43</v>
      </c>
      <c r="P7" s="88">
        <v>43</v>
      </c>
      <c r="Q7" s="88"/>
      <c r="R7" s="88"/>
      <c r="S7" s="88">
        <v>23</v>
      </c>
      <c r="T7" s="88">
        <v>23</v>
      </c>
      <c r="U7" s="103">
        <v>42</v>
      </c>
      <c r="V7" s="104">
        <v>42</v>
      </c>
      <c r="W7" s="104"/>
      <c r="X7" s="88"/>
      <c r="Y7" s="88">
        <v>13</v>
      </c>
      <c r="Z7" s="88">
        <v>19</v>
      </c>
      <c r="AA7" s="88">
        <v>20</v>
      </c>
      <c r="AB7" s="88">
        <v>20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</row>
    <row r="8" spans="1:76" x14ac:dyDescent="0.25">
      <c r="B8" s="4">
        <v>4687001002</v>
      </c>
      <c r="C8" s="50">
        <v>46357</v>
      </c>
      <c r="D8" s="4">
        <v>94118</v>
      </c>
      <c r="E8" s="4" t="s">
        <v>141</v>
      </c>
      <c r="F8" s="4" t="s">
        <v>94</v>
      </c>
      <c r="G8" s="4">
        <v>56929</v>
      </c>
      <c r="H8" s="4" t="s">
        <v>142</v>
      </c>
      <c r="I8" s="4" t="s">
        <v>120</v>
      </c>
      <c r="J8" s="4">
        <v>2</v>
      </c>
      <c r="K8" s="4">
        <v>10102</v>
      </c>
      <c r="U8" s="66"/>
      <c r="V8" s="5"/>
      <c r="W8" s="5"/>
    </row>
    <row r="9" spans="1:76" x14ac:dyDescent="0.25">
      <c r="B9" s="4">
        <v>4719001003</v>
      </c>
      <c r="C9" s="50">
        <v>46357</v>
      </c>
      <c r="D9" s="4">
        <v>94323</v>
      </c>
      <c r="E9" s="4" t="s">
        <v>265</v>
      </c>
      <c r="F9" s="4" t="s">
        <v>110</v>
      </c>
      <c r="G9" s="4">
        <v>51357</v>
      </c>
      <c r="H9" s="4" t="s">
        <v>294</v>
      </c>
      <c r="I9" s="4" t="s">
        <v>120</v>
      </c>
      <c r="J9" s="4">
        <v>6</v>
      </c>
      <c r="K9" s="4">
        <v>10102</v>
      </c>
      <c r="U9" s="67"/>
    </row>
    <row r="10" spans="1:76" s="49" customFormat="1" x14ac:dyDescent="0.25">
      <c r="A10" s="46"/>
      <c r="B10" s="46">
        <v>4719001004</v>
      </c>
      <c r="C10" s="47">
        <v>46357</v>
      </c>
      <c r="D10" s="46">
        <v>94323</v>
      </c>
      <c r="E10" s="46" t="s">
        <v>265</v>
      </c>
      <c r="F10" s="46" t="s">
        <v>94</v>
      </c>
      <c r="G10" s="46">
        <v>49522</v>
      </c>
      <c r="H10" s="46" t="s">
        <v>295</v>
      </c>
      <c r="I10" s="46" t="s">
        <v>120</v>
      </c>
      <c r="J10" s="46">
        <v>7</v>
      </c>
      <c r="K10" s="46">
        <v>10102</v>
      </c>
      <c r="L10" s="48">
        <v>0.70833333333333337</v>
      </c>
      <c r="M10" s="46">
        <v>50</v>
      </c>
      <c r="N10" s="46">
        <v>50</v>
      </c>
      <c r="O10" s="46"/>
      <c r="P10" s="46"/>
      <c r="Q10" s="46" t="s">
        <v>296</v>
      </c>
      <c r="R10" s="48">
        <v>0.38611111111111113</v>
      </c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90" customFormat="1" x14ac:dyDescent="0.25">
      <c r="A11" s="88" t="s">
        <v>291</v>
      </c>
      <c r="B11" s="88">
        <v>4712401001</v>
      </c>
      <c r="C11" s="89">
        <v>46357</v>
      </c>
      <c r="D11" s="88">
        <v>94328</v>
      </c>
      <c r="E11" s="88" t="s">
        <v>265</v>
      </c>
      <c r="F11" s="88" t="s">
        <v>110</v>
      </c>
      <c r="G11" s="88">
        <v>53419</v>
      </c>
      <c r="H11" s="88" t="s">
        <v>266</v>
      </c>
      <c r="I11" s="88" t="s">
        <v>120</v>
      </c>
      <c r="J11" s="88">
        <v>5</v>
      </c>
      <c r="K11" s="88">
        <v>10102</v>
      </c>
      <c r="L11" s="88"/>
      <c r="M11" s="88"/>
      <c r="N11" s="88"/>
      <c r="O11" s="88"/>
      <c r="P11" s="88"/>
      <c r="Q11" s="88"/>
      <c r="R11" s="88"/>
      <c r="S11" s="88"/>
      <c r="T11" s="88"/>
      <c r="U11" s="94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</row>
    <row r="12" spans="1:76" s="49" customFormat="1" x14ac:dyDescent="0.25">
      <c r="A12" s="46"/>
      <c r="B12" s="46">
        <v>4715001001</v>
      </c>
      <c r="C12" s="47">
        <v>46357</v>
      </c>
      <c r="D12" s="46">
        <v>94347</v>
      </c>
      <c r="E12" s="46" t="s">
        <v>256</v>
      </c>
      <c r="F12" s="46" t="s">
        <v>94</v>
      </c>
      <c r="G12" s="46">
        <v>57722</v>
      </c>
      <c r="H12" s="46" t="s">
        <v>297</v>
      </c>
      <c r="I12" s="46" t="s">
        <v>127</v>
      </c>
      <c r="J12" s="46">
        <v>3</v>
      </c>
      <c r="K12" s="46">
        <v>10106</v>
      </c>
      <c r="L12" s="48">
        <v>0.41666666666666669</v>
      </c>
      <c r="M12" s="46">
        <v>52</v>
      </c>
      <c r="N12" s="46">
        <v>15</v>
      </c>
      <c r="O12" s="46">
        <v>50</v>
      </c>
      <c r="P12" s="46">
        <v>50</v>
      </c>
      <c r="Q12" s="46"/>
      <c r="R12" s="48">
        <v>0.54722222222222228</v>
      </c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x14ac:dyDescent="0.25">
      <c r="B13" s="4">
        <v>4715001003</v>
      </c>
      <c r="C13" s="50">
        <v>46357</v>
      </c>
      <c r="D13" s="4">
        <v>94347</v>
      </c>
      <c r="E13" s="4" t="s">
        <v>256</v>
      </c>
      <c r="F13" s="4" t="s">
        <v>94</v>
      </c>
      <c r="G13" s="4">
        <v>38499</v>
      </c>
      <c r="H13" s="4" t="s">
        <v>298</v>
      </c>
      <c r="I13" s="4" t="s">
        <v>127</v>
      </c>
      <c r="J13" s="4">
        <v>24</v>
      </c>
      <c r="K13" s="4">
        <v>10106</v>
      </c>
      <c r="U13" s="21"/>
    </row>
    <row r="14" spans="1:76" s="49" customFormat="1" x14ac:dyDescent="0.25">
      <c r="A14" s="46"/>
      <c r="B14" s="46">
        <v>4717701001</v>
      </c>
      <c r="C14" s="47">
        <v>46357</v>
      </c>
      <c r="D14" s="46">
        <v>94440</v>
      </c>
      <c r="E14" s="46" t="s">
        <v>299</v>
      </c>
      <c r="F14" s="46" t="s">
        <v>116</v>
      </c>
      <c r="G14" s="46">
        <v>57634</v>
      </c>
      <c r="H14" s="46" t="s">
        <v>300</v>
      </c>
      <c r="I14" s="46" t="s">
        <v>103</v>
      </c>
      <c r="J14" s="46">
        <v>2</v>
      </c>
      <c r="K14" s="46">
        <v>10104</v>
      </c>
      <c r="L14" s="46"/>
      <c r="M14" s="46"/>
      <c r="N14" s="46"/>
      <c r="O14" s="46"/>
      <c r="P14" s="46"/>
      <c r="Q14" s="46"/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4722701001</v>
      </c>
      <c r="C15" s="47">
        <v>46357</v>
      </c>
      <c r="D15" s="46">
        <v>94554</v>
      </c>
      <c r="E15" s="46" t="s">
        <v>301</v>
      </c>
      <c r="F15" s="46" t="s">
        <v>94</v>
      </c>
      <c r="G15" s="46">
        <v>56319</v>
      </c>
      <c r="H15" s="46" t="s">
        <v>302</v>
      </c>
      <c r="I15" s="46" t="s">
        <v>120</v>
      </c>
      <c r="J15" s="46">
        <v>1</v>
      </c>
      <c r="K15" s="46">
        <v>10102</v>
      </c>
      <c r="L15" s="48">
        <v>0.72916666666666663</v>
      </c>
      <c r="M15" s="46">
        <v>50</v>
      </c>
      <c r="N15" s="46">
        <v>30</v>
      </c>
      <c r="O15" s="46">
        <v>40</v>
      </c>
      <c r="P15" s="46">
        <v>40</v>
      </c>
      <c r="Q15" s="46" t="s">
        <v>303</v>
      </c>
      <c r="R15" s="48">
        <v>0.37847222222222221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4722901001</v>
      </c>
      <c r="C16" s="47">
        <v>46357</v>
      </c>
      <c r="D16" s="46">
        <v>94581</v>
      </c>
      <c r="E16" s="46" t="s">
        <v>304</v>
      </c>
      <c r="F16" s="46" t="s">
        <v>94</v>
      </c>
      <c r="G16" s="46">
        <v>40583</v>
      </c>
      <c r="H16" s="46" t="s">
        <v>305</v>
      </c>
      <c r="I16" s="46" t="s">
        <v>120</v>
      </c>
      <c r="J16" s="46">
        <v>1</v>
      </c>
      <c r="K16" s="46">
        <v>10102</v>
      </c>
      <c r="L16" s="48">
        <v>0.45694444444444443</v>
      </c>
      <c r="M16" s="46"/>
      <c r="N16" s="46"/>
      <c r="O16" s="46">
        <v>35</v>
      </c>
      <c r="P16" s="46">
        <v>49</v>
      </c>
      <c r="Q16" s="46" t="s">
        <v>306</v>
      </c>
      <c r="R16" s="48">
        <v>0.57222222222222219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s="49" customFormat="1" x14ac:dyDescent="0.25">
      <c r="A17" s="46"/>
      <c r="B17" s="46">
        <v>4715101001</v>
      </c>
      <c r="C17" s="46"/>
      <c r="D17" s="46">
        <v>94510</v>
      </c>
      <c r="E17" s="46" t="s">
        <v>307</v>
      </c>
      <c r="F17" s="46">
        <v>1</v>
      </c>
      <c r="G17" s="46">
        <v>55494</v>
      </c>
      <c r="H17" s="46" t="s">
        <v>308</v>
      </c>
      <c r="I17" s="46" t="s">
        <v>166</v>
      </c>
      <c r="J17" s="46"/>
      <c r="K17" s="46"/>
      <c r="L17" s="46"/>
      <c r="M17" s="46">
        <v>5</v>
      </c>
      <c r="N17" s="46">
        <v>4</v>
      </c>
      <c r="O17" s="46"/>
      <c r="P17" s="46"/>
      <c r="Q17" s="46"/>
      <c r="R17" s="48">
        <v>0.4236111111111111</v>
      </c>
      <c r="S17" s="46"/>
      <c r="T17" s="46"/>
      <c r="U17" s="64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4714301001</v>
      </c>
      <c r="C18" s="46"/>
      <c r="D18" s="46">
        <v>93164</v>
      </c>
      <c r="E18" s="46" t="s">
        <v>309</v>
      </c>
      <c r="F18" s="46"/>
      <c r="G18" s="46">
        <v>56430</v>
      </c>
      <c r="H18" s="46" t="s">
        <v>310</v>
      </c>
      <c r="I18" s="46"/>
      <c r="J18" s="46"/>
      <c r="K18" s="46"/>
      <c r="L18" s="48">
        <v>0.40972222222222221</v>
      </c>
      <c r="M18" s="46">
        <v>25</v>
      </c>
      <c r="N18" s="46">
        <v>5</v>
      </c>
      <c r="O18" s="46">
        <v>35</v>
      </c>
      <c r="P18" s="46">
        <v>35</v>
      </c>
      <c r="Q18" s="46" t="s">
        <v>311</v>
      </c>
      <c r="R18" s="48">
        <v>0.4548611111111111</v>
      </c>
      <c r="S18" s="46"/>
      <c r="T18" s="46"/>
      <c r="U18" s="64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4714301003</v>
      </c>
      <c r="C19" s="47">
        <v>46297</v>
      </c>
      <c r="D19" s="46">
        <v>93164</v>
      </c>
      <c r="E19" s="46" t="s">
        <v>197</v>
      </c>
      <c r="F19" s="46" t="s">
        <v>94</v>
      </c>
      <c r="G19" s="46">
        <v>56432</v>
      </c>
      <c r="H19" s="46" t="s">
        <v>202</v>
      </c>
      <c r="I19" s="46" t="s">
        <v>103</v>
      </c>
      <c r="J19" s="46">
        <v>3</v>
      </c>
      <c r="K19" s="46">
        <v>10106</v>
      </c>
      <c r="L19" s="48">
        <v>0.40625</v>
      </c>
      <c r="M19" s="46">
        <v>34</v>
      </c>
      <c r="N19" s="46">
        <v>23</v>
      </c>
      <c r="O19" s="46">
        <v>30</v>
      </c>
      <c r="P19" s="46">
        <v>30</v>
      </c>
      <c r="Q19" s="46" t="s">
        <v>312</v>
      </c>
      <c r="R19" s="48">
        <v>0.5541666666666667</v>
      </c>
      <c r="S19" s="46"/>
      <c r="T19" s="46"/>
      <c r="U19" s="64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s="63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2"/>
      <c r="U30" s="68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</row>
    <row r="31" spans="1:76" s="61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0"/>
      <c r="U31" s="6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BD9A-3539-4FF8-9500-1C4294F2B4A8}">
  <sheetPr>
    <tabColor rgb="FFFFFF00"/>
  </sheetPr>
  <dimension ref="A1:U64"/>
  <sheetViews>
    <sheetView showGridLines="0" topLeftCell="A34" workbookViewId="0">
      <selection activeCell="S43" sqref="M43:U43"/>
    </sheetView>
  </sheetViews>
  <sheetFormatPr defaultRowHeight="15" x14ac:dyDescent="0.25"/>
  <sheetData>
    <row r="1" spans="1:21" x14ac:dyDescent="0.25">
      <c r="A1" s="195">
        <v>46357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10</v>
      </c>
      <c r="F18" s="210"/>
      <c r="G18" s="211">
        <f>E18-(E22/2)</f>
        <v>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10</v>
      </c>
      <c r="F19" s="192"/>
      <c r="G19" s="194">
        <f>E19-(E22/2)</f>
        <v>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20</v>
      </c>
      <c r="F20" s="192"/>
      <c r="G20" s="194">
        <f>E20-(E22/2)</f>
        <v>14.5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40</v>
      </c>
      <c r="F21" s="192"/>
      <c r="G21" s="194">
        <f>E21-(E22/2)</f>
        <v>34.5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10</v>
      </c>
      <c r="C29" s="178"/>
      <c r="D29" s="34">
        <v>0.5</v>
      </c>
      <c r="E29" s="35">
        <f>B29+D29</f>
        <v>10.5</v>
      </c>
      <c r="F29" s="177">
        <f>$E$19</f>
        <v>10</v>
      </c>
      <c r="G29" s="178"/>
      <c r="H29" s="34">
        <v>0.8</v>
      </c>
      <c r="I29" s="175">
        <f>F29+H29</f>
        <v>10.8</v>
      </c>
      <c r="J29" s="176"/>
      <c r="M29" s="179">
        <f>$E$18</f>
        <v>10</v>
      </c>
      <c r="N29" s="180"/>
      <c r="O29" s="36">
        <v>0.5</v>
      </c>
      <c r="P29" s="37">
        <f>M29+O29</f>
        <v>10.5</v>
      </c>
      <c r="Q29" s="179">
        <f>$E$19</f>
        <v>10</v>
      </c>
      <c r="R29" s="180"/>
      <c r="S29" s="36">
        <v>0.7</v>
      </c>
      <c r="T29" s="181">
        <f>Q29+S29</f>
        <v>10.7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20</v>
      </c>
      <c r="F31" s="167" t="s">
        <v>16</v>
      </c>
      <c r="G31" s="168"/>
      <c r="H31" s="34">
        <v>0</v>
      </c>
      <c r="I31" s="175">
        <f t="shared" ref="I31:I38" si="1">$E$21+H31</f>
        <v>40</v>
      </c>
      <c r="J31" s="176"/>
      <c r="M31" s="166" t="s">
        <v>17</v>
      </c>
      <c r="N31" s="166"/>
      <c r="O31" s="39">
        <v>0</v>
      </c>
      <c r="P31" s="40">
        <f t="shared" ref="P31:P38" si="2">$E$20+O31</f>
        <v>20</v>
      </c>
      <c r="Q31" s="167" t="s">
        <v>17</v>
      </c>
      <c r="R31" s="168"/>
      <c r="S31" s="34">
        <v>0.1</v>
      </c>
      <c r="T31" s="175">
        <f t="shared" ref="T31:T38" si="3">$E$21+S31</f>
        <v>40.1</v>
      </c>
      <c r="U31" s="176"/>
    </row>
    <row r="32" spans="1:21" ht="15.75" x14ac:dyDescent="0.25">
      <c r="A32" s="23"/>
      <c r="B32" s="166" t="s">
        <v>18</v>
      </c>
      <c r="C32" s="166"/>
      <c r="D32" s="41">
        <v>0.1</v>
      </c>
      <c r="E32" s="40">
        <f t="shared" si="0"/>
        <v>20.100000000000001</v>
      </c>
      <c r="F32" s="167" t="s">
        <v>18</v>
      </c>
      <c r="G32" s="168"/>
      <c r="H32" s="38">
        <v>0.1</v>
      </c>
      <c r="I32" s="175">
        <f t="shared" si="1"/>
        <v>40.1</v>
      </c>
      <c r="J32" s="176"/>
      <c r="M32" s="166" t="s">
        <v>18</v>
      </c>
      <c r="N32" s="166"/>
      <c r="O32" s="41">
        <v>0.1</v>
      </c>
      <c r="P32" s="40">
        <f t="shared" si="2"/>
        <v>20.100000000000001</v>
      </c>
      <c r="Q32" s="167" t="s">
        <v>18</v>
      </c>
      <c r="R32" s="168"/>
      <c r="S32" s="38">
        <v>0</v>
      </c>
      <c r="T32" s="175">
        <f t="shared" si="3"/>
        <v>40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20</v>
      </c>
      <c r="F33" s="167" t="s">
        <v>18</v>
      </c>
      <c r="G33" s="168"/>
      <c r="H33" s="38"/>
      <c r="I33" s="175">
        <f t="shared" si="1"/>
        <v>40</v>
      </c>
      <c r="J33" s="176"/>
      <c r="M33" s="166" t="s">
        <v>18</v>
      </c>
      <c r="N33" s="166"/>
      <c r="O33" s="41"/>
      <c r="P33" s="40">
        <f t="shared" si="2"/>
        <v>20</v>
      </c>
      <c r="Q33" s="167" t="s">
        <v>18</v>
      </c>
      <c r="R33" s="168"/>
      <c r="S33" s="38"/>
      <c r="T33" s="175">
        <f t="shared" si="3"/>
        <v>40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20</v>
      </c>
      <c r="F34" s="167" t="s">
        <v>18</v>
      </c>
      <c r="G34" s="168"/>
      <c r="H34" s="38"/>
      <c r="I34" s="175">
        <f t="shared" si="1"/>
        <v>40</v>
      </c>
      <c r="J34" s="176"/>
      <c r="M34" s="166" t="s">
        <v>19</v>
      </c>
      <c r="N34" s="166"/>
      <c r="O34" s="41"/>
      <c r="P34" s="40">
        <f t="shared" si="2"/>
        <v>20</v>
      </c>
      <c r="Q34" s="167" t="s">
        <v>18</v>
      </c>
      <c r="R34" s="168"/>
      <c r="S34" s="38"/>
      <c r="T34" s="175">
        <f t="shared" si="3"/>
        <v>40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20</v>
      </c>
      <c r="F35" s="167" t="s">
        <v>18</v>
      </c>
      <c r="G35" s="168"/>
      <c r="H35" s="38"/>
      <c r="I35" s="175">
        <f t="shared" si="1"/>
        <v>40</v>
      </c>
      <c r="J35" s="176"/>
      <c r="M35" s="166" t="s">
        <v>18</v>
      </c>
      <c r="N35" s="166"/>
      <c r="O35" s="41"/>
      <c r="P35" s="40">
        <f t="shared" si="2"/>
        <v>20</v>
      </c>
      <c r="Q35" s="167" t="s">
        <v>18</v>
      </c>
      <c r="R35" s="168"/>
      <c r="S35" s="38"/>
      <c r="T35" s="175">
        <f t="shared" si="3"/>
        <v>40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20</v>
      </c>
      <c r="F36" s="167" t="s">
        <v>18</v>
      </c>
      <c r="G36" s="168"/>
      <c r="H36" s="38"/>
      <c r="I36" s="175">
        <f t="shared" si="1"/>
        <v>40</v>
      </c>
      <c r="J36" s="176"/>
      <c r="M36" s="166" t="s">
        <v>18</v>
      </c>
      <c r="N36" s="166"/>
      <c r="O36" s="41"/>
      <c r="P36" s="40">
        <f t="shared" si="2"/>
        <v>20</v>
      </c>
      <c r="Q36" s="167" t="s">
        <v>18</v>
      </c>
      <c r="R36" s="168"/>
      <c r="S36" s="38"/>
      <c r="T36" s="175">
        <f t="shared" si="3"/>
        <v>40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20</v>
      </c>
      <c r="F37" s="167" t="s">
        <v>18</v>
      </c>
      <c r="G37" s="168"/>
      <c r="H37" s="38"/>
      <c r="I37" s="175">
        <f t="shared" si="1"/>
        <v>40</v>
      </c>
      <c r="J37" s="176"/>
      <c r="M37" s="166" t="s">
        <v>18</v>
      </c>
      <c r="N37" s="166"/>
      <c r="O37" s="41"/>
      <c r="P37" s="40">
        <f t="shared" si="2"/>
        <v>20</v>
      </c>
      <c r="Q37" s="167" t="s">
        <v>18</v>
      </c>
      <c r="R37" s="168"/>
      <c r="S37" s="38"/>
      <c r="T37" s="175">
        <f t="shared" si="3"/>
        <v>40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20</v>
      </c>
      <c r="F38" s="167" t="s">
        <v>18</v>
      </c>
      <c r="G38" s="168"/>
      <c r="H38" s="38"/>
      <c r="I38" s="175">
        <f t="shared" si="1"/>
        <v>40</v>
      </c>
      <c r="J38" s="176"/>
      <c r="M38" s="166" t="s">
        <v>18</v>
      </c>
      <c r="N38" s="166"/>
      <c r="O38" s="41"/>
      <c r="P38" s="40">
        <f t="shared" si="2"/>
        <v>20</v>
      </c>
      <c r="Q38" s="167" t="s">
        <v>18</v>
      </c>
      <c r="R38" s="168"/>
      <c r="S38" s="38"/>
      <c r="T38" s="175">
        <f t="shared" si="3"/>
        <v>40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10</v>
      </c>
      <c r="C42" s="178"/>
      <c r="D42" s="34">
        <v>0.7</v>
      </c>
      <c r="E42" s="35">
        <f>B42+D42</f>
        <v>10.7</v>
      </c>
      <c r="F42" s="177">
        <f>$E$19</f>
        <v>10</v>
      </c>
      <c r="G42" s="178"/>
      <c r="H42" s="34">
        <v>0.85</v>
      </c>
      <c r="I42" s="175">
        <f>F42+H42</f>
        <v>10.85</v>
      </c>
      <c r="J42" s="176"/>
      <c r="M42" s="179">
        <f>$E$18</f>
        <v>10</v>
      </c>
      <c r="N42" s="180"/>
      <c r="O42" s="36">
        <v>0.7</v>
      </c>
      <c r="P42" s="37">
        <f>M42+O42</f>
        <v>10.7</v>
      </c>
      <c r="Q42" s="179">
        <f>$E$19</f>
        <v>10</v>
      </c>
      <c r="R42" s="180"/>
      <c r="S42" s="36">
        <v>0.95</v>
      </c>
      <c r="T42" s="181">
        <f>Q42+S42</f>
        <v>10.95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>
        <v>0.05</v>
      </c>
      <c r="E44" s="40">
        <f t="shared" ref="E44:E51" si="4">$E$20+D44</f>
        <v>20.05</v>
      </c>
      <c r="F44" s="167" t="s">
        <v>16</v>
      </c>
      <c r="G44" s="168"/>
      <c r="H44" s="34">
        <v>0.05</v>
      </c>
      <c r="I44" s="175">
        <f t="shared" ref="I44:I51" si="5">$E$21+H44</f>
        <v>40.049999999999997</v>
      </c>
      <c r="J44" s="176"/>
      <c r="M44" s="166" t="s">
        <v>17</v>
      </c>
      <c r="N44" s="166"/>
      <c r="O44" s="39">
        <v>0.05</v>
      </c>
      <c r="P44" s="40">
        <f t="shared" ref="P44:P51" si="6">$E$20+O44</f>
        <v>20.05</v>
      </c>
      <c r="Q44" s="167" t="s">
        <v>17</v>
      </c>
      <c r="R44" s="168"/>
      <c r="S44" s="34">
        <v>0.1</v>
      </c>
      <c r="T44" s="175">
        <f t="shared" ref="T44:T51" si="7">$E$21+S44</f>
        <v>40.1</v>
      </c>
      <c r="U44" s="176"/>
    </row>
    <row r="45" spans="1:21" ht="15.75" x14ac:dyDescent="0.25">
      <c r="B45" s="166" t="s">
        <v>18</v>
      </c>
      <c r="C45" s="166"/>
      <c r="D45" s="41">
        <v>0</v>
      </c>
      <c r="E45" s="40">
        <f t="shared" si="4"/>
        <v>20</v>
      </c>
      <c r="F45" s="167" t="s">
        <v>18</v>
      </c>
      <c r="G45" s="168"/>
      <c r="H45" s="38">
        <v>0</v>
      </c>
      <c r="I45" s="175">
        <f t="shared" si="5"/>
        <v>40</v>
      </c>
      <c r="J45" s="176"/>
      <c r="M45" s="166" t="s">
        <v>18</v>
      </c>
      <c r="N45" s="166"/>
      <c r="O45" s="41">
        <v>0.1</v>
      </c>
      <c r="P45" s="40">
        <f t="shared" si="6"/>
        <v>20.100000000000001</v>
      </c>
      <c r="Q45" s="167" t="s">
        <v>18</v>
      </c>
      <c r="R45" s="168"/>
      <c r="S45" s="38">
        <v>0.1</v>
      </c>
      <c r="T45" s="175">
        <f t="shared" si="7"/>
        <v>40.1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20</v>
      </c>
      <c r="F46" s="167" t="s">
        <v>18</v>
      </c>
      <c r="G46" s="168"/>
      <c r="H46" s="38"/>
      <c r="I46" s="175">
        <f t="shared" si="5"/>
        <v>40</v>
      </c>
      <c r="J46" s="176"/>
      <c r="M46" s="166" t="s">
        <v>18</v>
      </c>
      <c r="N46" s="166"/>
      <c r="O46" s="41"/>
      <c r="P46" s="40">
        <f t="shared" si="6"/>
        <v>20</v>
      </c>
      <c r="Q46" s="167" t="s">
        <v>18</v>
      </c>
      <c r="R46" s="168"/>
      <c r="S46" s="38"/>
      <c r="T46" s="175">
        <f t="shared" si="7"/>
        <v>40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20</v>
      </c>
      <c r="F47" s="167" t="s">
        <v>18</v>
      </c>
      <c r="G47" s="168"/>
      <c r="H47" s="38"/>
      <c r="I47" s="175">
        <f t="shared" si="5"/>
        <v>40</v>
      </c>
      <c r="J47" s="176"/>
      <c r="M47" s="166" t="s">
        <v>19</v>
      </c>
      <c r="N47" s="166"/>
      <c r="O47" s="41"/>
      <c r="P47" s="40">
        <f t="shared" si="6"/>
        <v>20</v>
      </c>
      <c r="Q47" s="167" t="s">
        <v>18</v>
      </c>
      <c r="R47" s="168"/>
      <c r="S47" s="38"/>
      <c r="T47" s="175">
        <f t="shared" si="7"/>
        <v>40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20</v>
      </c>
      <c r="F48" s="167" t="s">
        <v>18</v>
      </c>
      <c r="G48" s="168"/>
      <c r="H48" s="38"/>
      <c r="I48" s="175">
        <f t="shared" si="5"/>
        <v>40</v>
      </c>
      <c r="J48" s="176"/>
      <c r="M48" s="166" t="s">
        <v>18</v>
      </c>
      <c r="N48" s="166"/>
      <c r="O48" s="41"/>
      <c r="P48" s="40">
        <f t="shared" si="6"/>
        <v>20</v>
      </c>
      <c r="Q48" s="167" t="s">
        <v>18</v>
      </c>
      <c r="R48" s="168"/>
      <c r="S48" s="38"/>
      <c r="T48" s="175">
        <f t="shared" si="7"/>
        <v>40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20</v>
      </c>
      <c r="F49" s="167" t="s">
        <v>18</v>
      </c>
      <c r="G49" s="168"/>
      <c r="H49" s="38"/>
      <c r="I49" s="175">
        <f t="shared" si="5"/>
        <v>40</v>
      </c>
      <c r="J49" s="176"/>
      <c r="M49" s="166" t="s">
        <v>18</v>
      </c>
      <c r="N49" s="166"/>
      <c r="O49" s="41"/>
      <c r="P49" s="40">
        <f t="shared" si="6"/>
        <v>20</v>
      </c>
      <c r="Q49" s="167" t="s">
        <v>18</v>
      </c>
      <c r="R49" s="168"/>
      <c r="S49" s="38"/>
      <c r="T49" s="175">
        <f t="shared" si="7"/>
        <v>40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20</v>
      </c>
      <c r="F50" s="167" t="s">
        <v>18</v>
      </c>
      <c r="G50" s="168"/>
      <c r="H50" s="38"/>
      <c r="I50" s="175">
        <f t="shared" si="5"/>
        <v>40</v>
      </c>
      <c r="J50" s="176"/>
      <c r="M50" s="166" t="s">
        <v>18</v>
      </c>
      <c r="N50" s="166"/>
      <c r="O50" s="41"/>
      <c r="P50" s="40">
        <f t="shared" si="6"/>
        <v>20</v>
      </c>
      <c r="Q50" s="167" t="s">
        <v>18</v>
      </c>
      <c r="R50" s="168"/>
      <c r="S50" s="38"/>
      <c r="T50" s="175">
        <f t="shared" si="7"/>
        <v>40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20</v>
      </c>
      <c r="F51" s="167" t="s">
        <v>18</v>
      </c>
      <c r="G51" s="168"/>
      <c r="H51" s="38"/>
      <c r="I51" s="175">
        <f t="shared" si="5"/>
        <v>40</v>
      </c>
      <c r="J51" s="176"/>
      <c r="M51" s="166" t="s">
        <v>18</v>
      </c>
      <c r="N51" s="166"/>
      <c r="O51" s="41"/>
      <c r="P51" s="40">
        <f t="shared" si="6"/>
        <v>20</v>
      </c>
      <c r="Q51" s="167" t="s">
        <v>18</v>
      </c>
      <c r="R51" s="168"/>
      <c r="S51" s="38"/>
      <c r="T51" s="175">
        <f t="shared" si="7"/>
        <v>40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10</v>
      </c>
      <c r="C55" s="178"/>
      <c r="D55" s="34"/>
      <c r="E55" s="35">
        <f>B55+D55</f>
        <v>10</v>
      </c>
      <c r="F55" s="177">
        <f>$E$19</f>
        <v>10</v>
      </c>
      <c r="G55" s="178"/>
      <c r="H55" s="34"/>
      <c r="I55" s="175">
        <f>F55+H55</f>
        <v>10</v>
      </c>
      <c r="J55" s="176"/>
      <c r="M55" s="179">
        <f>$E$18</f>
        <v>10</v>
      </c>
      <c r="N55" s="180"/>
      <c r="O55" s="36"/>
      <c r="P55" s="37">
        <f>M55+O55</f>
        <v>10</v>
      </c>
      <c r="Q55" s="179">
        <f>$E$19</f>
        <v>10</v>
      </c>
      <c r="R55" s="180"/>
      <c r="S55" s="36"/>
      <c r="T55" s="181">
        <f>Q55+S55</f>
        <v>10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20</v>
      </c>
      <c r="F57" s="167" t="s">
        <v>16</v>
      </c>
      <c r="G57" s="168"/>
      <c r="H57" s="34"/>
      <c r="I57" s="175">
        <f t="shared" ref="I57:I64" si="9">$E$21+H57</f>
        <v>40</v>
      </c>
      <c r="J57" s="176"/>
      <c r="M57" s="166" t="s">
        <v>17</v>
      </c>
      <c r="N57" s="166"/>
      <c r="O57" s="39"/>
      <c r="P57" s="40">
        <f t="shared" ref="P57:P64" si="10">$E$20+O57</f>
        <v>20</v>
      </c>
      <c r="Q57" s="167" t="s">
        <v>17</v>
      </c>
      <c r="R57" s="168"/>
      <c r="S57" s="34"/>
      <c r="T57" s="175">
        <f t="shared" ref="T57:T64" si="11">$E$21+S57</f>
        <v>40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20</v>
      </c>
      <c r="F58" s="167" t="s">
        <v>18</v>
      </c>
      <c r="G58" s="168"/>
      <c r="H58" s="38"/>
      <c r="I58" s="175">
        <f t="shared" si="9"/>
        <v>40</v>
      </c>
      <c r="J58" s="176"/>
      <c r="M58" s="166" t="s">
        <v>18</v>
      </c>
      <c r="N58" s="166"/>
      <c r="O58" s="41"/>
      <c r="P58" s="40">
        <f t="shared" si="10"/>
        <v>20</v>
      </c>
      <c r="Q58" s="167" t="s">
        <v>18</v>
      </c>
      <c r="R58" s="168"/>
      <c r="S58" s="38"/>
      <c r="T58" s="175">
        <f t="shared" si="11"/>
        <v>40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20</v>
      </c>
      <c r="F59" s="167" t="s">
        <v>18</v>
      </c>
      <c r="G59" s="168"/>
      <c r="H59" s="38"/>
      <c r="I59" s="175">
        <f t="shared" si="9"/>
        <v>40</v>
      </c>
      <c r="J59" s="176"/>
      <c r="M59" s="166" t="s">
        <v>18</v>
      </c>
      <c r="N59" s="166"/>
      <c r="O59" s="41"/>
      <c r="P59" s="40">
        <f t="shared" si="10"/>
        <v>20</v>
      </c>
      <c r="Q59" s="167" t="s">
        <v>18</v>
      </c>
      <c r="R59" s="168"/>
      <c r="S59" s="38"/>
      <c r="T59" s="175">
        <f t="shared" si="11"/>
        <v>40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20</v>
      </c>
      <c r="F60" s="167" t="s">
        <v>18</v>
      </c>
      <c r="G60" s="168"/>
      <c r="H60" s="38"/>
      <c r="I60" s="175">
        <f t="shared" si="9"/>
        <v>40</v>
      </c>
      <c r="J60" s="176"/>
      <c r="M60" s="166" t="s">
        <v>19</v>
      </c>
      <c r="N60" s="166"/>
      <c r="O60" s="41"/>
      <c r="P60" s="40">
        <f t="shared" si="10"/>
        <v>20</v>
      </c>
      <c r="Q60" s="167" t="s">
        <v>18</v>
      </c>
      <c r="R60" s="168"/>
      <c r="S60" s="38"/>
      <c r="T60" s="175">
        <f t="shared" si="11"/>
        <v>40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20</v>
      </c>
      <c r="F61" s="167" t="s">
        <v>18</v>
      </c>
      <c r="G61" s="168"/>
      <c r="H61" s="38"/>
      <c r="I61" s="175">
        <f t="shared" si="9"/>
        <v>40</v>
      </c>
      <c r="J61" s="176"/>
      <c r="M61" s="166" t="s">
        <v>18</v>
      </c>
      <c r="N61" s="166"/>
      <c r="O61" s="41"/>
      <c r="P61" s="40">
        <f t="shared" si="10"/>
        <v>20</v>
      </c>
      <c r="Q61" s="167" t="s">
        <v>18</v>
      </c>
      <c r="R61" s="168"/>
      <c r="S61" s="38"/>
      <c r="T61" s="175">
        <f t="shared" si="11"/>
        <v>40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20</v>
      </c>
      <c r="F62" s="167" t="s">
        <v>18</v>
      </c>
      <c r="G62" s="168"/>
      <c r="H62" s="38"/>
      <c r="I62" s="175">
        <f t="shared" si="9"/>
        <v>40</v>
      </c>
      <c r="J62" s="176"/>
      <c r="M62" s="166" t="s">
        <v>18</v>
      </c>
      <c r="N62" s="166"/>
      <c r="O62" s="41"/>
      <c r="P62" s="40">
        <f t="shared" si="10"/>
        <v>20</v>
      </c>
      <c r="Q62" s="167" t="s">
        <v>18</v>
      </c>
      <c r="R62" s="168"/>
      <c r="S62" s="38"/>
      <c r="T62" s="175">
        <f t="shared" si="11"/>
        <v>40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20</v>
      </c>
      <c r="F63" s="167" t="s">
        <v>18</v>
      </c>
      <c r="G63" s="168"/>
      <c r="H63" s="38"/>
      <c r="I63" s="175">
        <f t="shared" si="9"/>
        <v>40</v>
      </c>
      <c r="J63" s="176"/>
      <c r="M63" s="166" t="s">
        <v>18</v>
      </c>
      <c r="N63" s="166"/>
      <c r="O63" s="41"/>
      <c r="P63" s="40">
        <f t="shared" si="10"/>
        <v>20</v>
      </c>
      <c r="Q63" s="167" t="s">
        <v>18</v>
      </c>
      <c r="R63" s="168"/>
      <c r="S63" s="38"/>
      <c r="T63" s="175">
        <f t="shared" si="11"/>
        <v>40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20</v>
      </c>
      <c r="F64" s="167" t="s">
        <v>18</v>
      </c>
      <c r="G64" s="168"/>
      <c r="H64" s="38"/>
      <c r="I64" s="175">
        <f t="shared" si="9"/>
        <v>40</v>
      </c>
      <c r="J64" s="176"/>
      <c r="M64" s="166" t="s">
        <v>18</v>
      </c>
      <c r="N64" s="166"/>
      <c r="O64" s="41"/>
      <c r="P64" s="40">
        <f t="shared" si="10"/>
        <v>20</v>
      </c>
      <c r="Q64" s="167" t="s">
        <v>18</v>
      </c>
      <c r="R64" s="168"/>
      <c r="S64" s="38"/>
      <c r="T64" s="175">
        <f t="shared" si="11"/>
        <v>40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CF2E-74E7-4C45-9F13-F9003B8ECC5E}">
  <sheetPr>
    <tabColor rgb="FFFF0000"/>
  </sheetPr>
  <dimension ref="A1:BX24"/>
  <sheetViews>
    <sheetView workbookViewId="0">
      <pane ySplit="2" topLeftCell="A20" activePane="bottomLeft" state="frozen"/>
      <selection pane="bottomLeft" activeCell="H20" sqref="H20"/>
    </sheetView>
  </sheetViews>
  <sheetFormatPr defaultRowHeight="15" x14ac:dyDescent="0.25"/>
  <cols>
    <col min="1" max="1" width="19.1406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6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>
        <v>1</v>
      </c>
      <c r="B1" s="232"/>
      <c r="C1" s="232"/>
      <c r="D1" s="233"/>
      <c r="E1" s="78" t="s">
        <v>87</v>
      </c>
      <c r="F1" s="231" t="s">
        <v>88</v>
      </c>
      <c r="G1" s="233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4687201006</v>
      </c>
      <c r="C3" s="47">
        <v>46357</v>
      </c>
      <c r="D3" s="46">
        <v>93604</v>
      </c>
      <c r="E3" s="46" t="s">
        <v>292</v>
      </c>
      <c r="F3" s="46" t="s">
        <v>125</v>
      </c>
      <c r="G3" s="46">
        <v>57868</v>
      </c>
      <c r="H3" s="46" t="s">
        <v>293</v>
      </c>
      <c r="I3" s="46" t="s">
        <v>120</v>
      </c>
      <c r="J3" s="46">
        <v>1</v>
      </c>
      <c r="K3" s="46">
        <v>10111</v>
      </c>
      <c r="L3" s="46"/>
      <c r="M3" s="46">
        <v>24</v>
      </c>
      <c r="N3" s="46">
        <v>29</v>
      </c>
      <c r="O3" s="46">
        <v>43</v>
      </c>
      <c r="P3" s="46">
        <v>43</v>
      </c>
      <c r="Q3" s="46"/>
      <c r="R3" s="46"/>
      <c r="S3" s="46">
        <v>23</v>
      </c>
      <c r="T3" s="46">
        <v>23</v>
      </c>
      <c r="U3" s="92">
        <v>42</v>
      </c>
      <c r="V3" s="93">
        <v>42</v>
      </c>
      <c r="W3" s="93"/>
      <c r="X3" s="46"/>
      <c r="Y3" s="46">
        <v>13</v>
      </c>
      <c r="Z3" s="46">
        <v>19</v>
      </c>
      <c r="AA3" s="46">
        <v>20</v>
      </c>
      <c r="AB3" s="46">
        <v>20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6"/>
      <c r="B4" s="46">
        <v>4714401001</v>
      </c>
      <c r="C4" s="46" t="s">
        <v>249</v>
      </c>
      <c r="D4" s="46">
        <v>93376</v>
      </c>
      <c r="E4" s="46" t="s">
        <v>115</v>
      </c>
      <c r="F4" s="46" t="s">
        <v>116</v>
      </c>
      <c r="G4" s="46">
        <v>54130</v>
      </c>
      <c r="H4" s="46" t="s">
        <v>117</v>
      </c>
      <c r="I4" s="46" t="s">
        <v>99</v>
      </c>
      <c r="J4" s="46">
        <v>1</v>
      </c>
      <c r="K4" s="46">
        <v>10105</v>
      </c>
      <c r="L4" s="46"/>
      <c r="M4" s="46"/>
      <c r="N4" s="46"/>
      <c r="O4" s="46"/>
      <c r="P4" s="46"/>
      <c r="Q4" s="46" t="s">
        <v>313</v>
      </c>
      <c r="R4" s="46"/>
      <c r="S4" s="46"/>
      <c r="T4" s="46"/>
      <c r="U4" s="64"/>
      <c r="V4" s="46"/>
      <c r="W4" s="46" t="s">
        <v>314</v>
      </c>
      <c r="X4" s="46"/>
      <c r="Y4" s="46"/>
      <c r="Z4" s="46"/>
      <c r="AA4" s="46"/>
      <c r="AB4" s="46"/>
      <c r="AC4" s="46" t="s">
        <v>315</v>
      </c>
      <c r="AD4" s="46"/>
      <c r="AE4" s="46"/>
      <c r="AF4" s="46"/>
      <c r="AG4" s="46"/>
      <c r="AH4" s="46"/>
      <c r="AI4" s="46" t="s">
        <v>316</v>
      </c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90" customFormat="1" x14ac:dyDescent="0.25">
      <c r="A5" s="88" t="s">
        <v>317</v>
      </c>
      <c r="B5" s="88">
        <v>4714801001</v>
      </c>
      <c r="C5" s="88" t="s">
        <v>249</v>
      </c>
      <c r="D5" s="88">
        <v>93548</v>
      </c>
      <c r="E5" s="88" t="s">
        <v>118</v>
      </c>
      <c r="F5" s="88" t="s">
        <v>110</v>
      </c>
      <c r="G5" s="88">
        <v>38992</v>
      </c>
      <c r="H5" s="88" t="s">
        <v>119</v>
      </c>
      <c r="I5" s="88" t="s">
        <v>120</v>
      </c>
      <c r="J5" s="88">
        <v>1</v>
      </c>
      <c r="K5" s="88">
        <v>10104</v>
      </c>
      <c r="L5" s="88"/>
      <c r="M5" s="88">
        <v>35</v>
      </c>
      <c r="N5" s="88">
        <v>20</v>
      </c>
      <c r="O5" s="88">
        <v>10</v>
      </c>
      <c r="P5" s="88">
        <v>10</v>
      </c>
      <c r="Q5" s="88"/>
      <c r="R5" s="88"/>
      <c r="S5" s="88">
        <v>20</v>
      </c>
      <c r="T5" s="88">
        <v>23</v>
      </c>
      <c r="U5" s="94">
        <v>50</v>
      </c>
      <c r="V5" s="88">
        <v>50</v>
      </c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</row>
    <row r="6" spans="1:76" s="49" customFormat="1" x14ac:dyDescent="0.25">
      <c r="A6" s="46"/>
      <c r="B6" s="46">
        <v>4707301001</v>
      </c>
      <c r="C6" s="46" t="s">
        <v>249</v>
      </c>
      <c r="D6" s="46">
        <v>94081</v>
      </c>
      <c r="E6" s="46" t="s">
        <v>136</v>
      </c>
      <c r="F6" s="46" t="s">
        <v>110</v>
      </c>
      <c r="G6" s="46">
        <v>57509</v>
      </c>
      <c r="H6" s="46" t="s">
        <v>137</v>
      </c>
      <c r="I6" s="46" t="s">
        <v>138</v>
      </c>
      <c r="J6" s="46">
        <v>2</v>
      </c>
      <c r="K6" s="46">
        <v>10101</v>
      </c>
      <c r="L6" s="46"/>
      <c r="M6" s="46"/>
      <c r="N6" s="46"/>
      <c r="O6" s="46"/>
      <c r="P6" s="46"/>
      <c r="Q6" s="46" t="s">
        <v>318</v>
      </c>
      <c r="R6" s="46"/>
      <c r="S6" s="46"/>
      <c r="T6" s="46"/>
      <c r="U6" s="64"/>
      <c r="V6" s="46"/>
      <c r="W6" s="46" t="s">
        <v>319</v>
      </c>
      <c r="X6" s="48">
        <v>0.6875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</row>
    <row r="7" spans="1:76" s="90" customFormat="1" x14ac:dyDescent="0.25">
      <c r="A7" s="88" t="s">
        <v>317</v>
      </c>
      <c r="B7" s="88">
        <v>4719001003</v>
      </c>
      <c r="C7" s="88" t="s">
        <v>249</v>
      </c>
      <c r="D7" s="88">
        <v>94323</v>
      </c>
      <c r="E7" s="88" t="s">
        <v>265</v>
      </c>
      <c r="F7" s="88" t="s">
        <v>110</v>
      </c>
      <c r="G7" s="88">
        <v>51357</v>
      </c>
      <c r="H7" s="88" t="s">
        <v>294</v>
      </c>
      <c r="I7" s="88" t="s">
        <v>120</v>
      </c>
      <c r="J7" s="88">
        <v>6</v>
      </c>
      <c r="K7" s="88">
        <v>10102</v>
      </c>
      <c r="L7" s="88"/>
      <c r="M7" s="88"/>
      <c r="N7" s="88"/>
      <c r="O7" s="88"/>
      <c r="P7" s="88"/>
      <c r="Q7" s="88"/>
      <c r="R7" s="88"/>
      <c r="S7" s="88"/>
      <c r="T7" s="88"/>
      <c r="U7" s="94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</row>
    <row r="8" spans="1:76" s="49" customFormat="1" x14ac:dyDescent="0.25">
      <c r="A8" s="46"/>
      <c r="B8" s="46">
        <v>4719001004</v>
      </c>
      <c r="C8" s="46" t="s">
        <v>249</v>
      </c>
      <c r="D8" s="46">
        <v>94323</v>
      </c>
      <c r="E8" s="46" t="s">
        <v>265</v>
      </c>
      <c r="F8" s="46" t="s">
        <v>94</v>
      </c>
      <c r="G8" s="46">
        <v>49522</v>
      </c>
      <c r="H8" s="46" t="s">
        <v>295</v>
      </c>
      <c r="I8" s="46" t="s">
        <v>120</v>
      </c>
      <c r="J8" s="46">
        <v>7</v>
      </c>
      <c r="K8" s="46">
        <v>10102</v>
      </c>
      <c r="L8" s="48">
        <v>0.70833333333333337</v>
      </c>
      <c r="M8" s="46">
        <v>50</v>
      </c>
      <c r="N8" s="46">
        <v>50</v>
      </c>
      <c r="O8" s="46"/>
      <c r="P8" s="46"/>
      <c r="Q8" s="46" t="s">
        <v>296</v>
      </c>
      <c r="R8" s="48">
        <v>0.38611111111111113</v>
      </c>
      <c r="S8" s="46"/>
      <c r="T8" s="46"/>
      <c r="U8" s="64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6" s="90" customFormat="1" x14ac:dyDescent="0.25">
      <c r="A9" s="88" t="s">
        <v>317</v>
      </c>
      <c r="B9" s="88">
        <v>4712401001</v>
      </c>
      <c r="C9" s="88" t="s">
        <v>249</v>
      </c>
      <c r="D9" s="88">
        <v>94328</v>
      </c>
      <c r="E9" s="88" t="s">
        <v>265</v>
      </c>
      <c r="F9" s="88" t="s">
        <v>110</v>
      </c>
      <c r="G9" s="88">
        <v>53419</v>
      </c>
      <c r="H9" s="88" t="s">
        <v>266</v>
      </c>
      <c r="I9" s="88" t="s">
        <v>120</v>
      </c>
      <c r="J9" s="88">
        <v>5</v>
      </c>
      <c r="K9" s="88">
        <v>10102</v>
      </c>
      <c r="L9" s="88"/>
      <c r="M9" s="88"/>
      <c r="N9" s="88"/>
      <c r="O9" s="88"/>
      <c r="P9" s="88"/>
      <c r="Q9" s="88"/>
      <c r="R9" s="88"/>
      <c r="S9" s="88"/>
      <c r="T9" s="88"/>
      <c r="U9" s="94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</row>
    <row r="10" spans="1:76" s="49" customFormat="1" x14ac:dyDescent="0.25">
      <c r="A10" s="46"/>
      <c r="B10" s="46">
        <v>4722801001</v>
      </c>
      <c r="C10" s="46" t="s">
        <v>249</v>
      </c>
      <c r="D10" s="46">
        <v>94555</v>
      </c>
      <c r="E10" s="46" t="s">
        <v>301</v>
      </c>
      <c r="F10" s="46" t="s">
        <v>94</v>
      </c>
      <c r="G10" s="46">
        <v>57840</v>
      </c>
      <c r="H10" s="46" t="s">
        <v>320</v>
      </c>
      <c r="I10" s="46" t="s">
        <v>120</v>
      </c>
      <c r="J10" s="46">
        <v>1</v>
      </c>
      <c r="K10" s="46">
        <v>10102</v>
      </c>
      <c r="L10" s="48">
        <v>0.59027777777777779</v>
      </c>
      <c r="M10" s="46">
        <v>50</v>
      </c>
      <c r="N10" s="46">
        <v>10</v>
      </c>
      <c r="O10" s="46">
        <v>41</v>
      </c>
      <c r="P10" s="46">
        <v>41</v>
      </c>
      <c r="Q10" s="46" t="s">
        <v>321</v>
      </c>
      <c r="R10" s="48">
        <v>0.4236111111111111</v>
      </c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90" customFormat="1" x14ac:dyDescent="0.25">
      <c r="A11" s="88" t="s">
        <v>322</v>
      </c>
      <c r="B11" s="88">
        <v>4723001001</v>
      </c>
      <c r="C11" s="88" t="s">
        <v>249</v>
      </c>
      <c r="D11" s="88">
        <v>94573</v>
      </c>
      <c r="E11" s="88" t="s">
        <v>323</v>
      </c>
      <c r="F11" s="88" t="s">
        <v>110</v>
      </c>
      <c r="G11" s="88">
        <v>49486</v>
      </c>
      <c r="H11" s="88" t="s">
        <v>324</v>
      </c>
      <c r="I11" s="88" t="s">
        <v>99</v>
      </c>
      <c r="J11" s="88">
        <v>1</v>
      </c>
      <c r="K11" s="88">
        <v>10105</v>
      </c>
      <c r="L11" s="91">
        <v>0.70486111111111116</v>
      </c>
      <c r="M11" s="88"/>
      <c r="N11" s="88">
        <v>50</v>
      </c>
      <c r="O11" s="88">
        <v>50</v>
      </c>
      <c r="P11" s="88">
        <v>50</v>
      </c>
      <c r="Q11" s="88"/>
      <c r="R11" s="91">
        <v>0.71180555555555558</v>
      </c>
      <c r="S11" s="88"/>
      <c r="T11" s="88"/>
      <c r="U11" s="94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</row>
    <row r="12" spans="1:76" s="49" customFormat="1" x14ac:dyDescent="0.25">
      <c r="A12" s="46"/>
      <c r="B12" s="46">
        <v>4722601003</v>
      </c>
      <c r="C12" s="46" t="s">
        <v>249</v>
      </c>
      <c r="D12" s="46">
        <v>94602</v>
      </c>
      <c r="E12" s="46" t="s">
        <v>325</v>
      </c>
      <c r="F12" s="46" t="s">
        <v>94</v>
      </c>
      <c r="G12" s="46">
        <v>51049</v>
      </c>
      <c r="H12" s="46" t="s">
        <v>326</v>
      </c>
      <c r="I12" s="46" t="s">
        <v>99</v>
      </c>
      <c r="J12" s="46">
        <v>1</v>
      </c>
      <c r="K12" s="46">
        <v>10106</v>
      </c>
      <c r="L12" s="48">
        <v>0.4513888888888889</v>
      </c>
      <c r="M12" s="46">
        <v>34</v>
      </c>
      <c r="N12" s="46">
        <v>37</v>
      </c>
      <c r="O12" s="46">
        <v>39</v>
      </c>
      <c r="P12" s="46">
        <v>39</v>
      </c>
      <c r="Q12" s="46" t="s">
        <v>327</v>
      </c>
      <c r="R12" s="48">
        <v>0.53611111111111109</v>
      </c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4724301001</v>
      </c>
      <c r="C13" s="46" t="s">
        <v>249</v>
      </c>
      <c r="D13" s="46">
        <v>94616</v>
      </c>
      <c r="E13" s="46" t="s">
        <v>112</v>
      </c>
      <c r="F13" s="46" t="s">
        <v>94</v>
      </c>
      <c r="G13" s="46">
        <v>40809</v>
      </c>
      <c r="H13" s="46" t="s">
        <v>328</v>
      </c>
      <c r="I13" s="46"/>
      <c r="J13" s="46">
        <v>1</v>
      </c>
      <c r="K13" s="46">
        <v>10101</v>
      </c>
      <c r="L13" s="105">
        <v>46357.732638888891</v>
      </c>
      <c r="M13" s="46">
        <v>50</v>
      </c>
      <c r="N13" s="46">
        <v>50</v>
      </c>
      <c r="O13" s="46">
        <v>45</v>
      </c>
      <c r="P13" s="46">
        <v>45</v>
      </c>
      <c r="Q13" s="46" t="s">
        <v>329</v>
      </c>
      <c r="R13" s="48">
        <v>0.46875</v>
      </c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90" customFormat="1" x14ac:dyDescent="0.25">
      <c r="A14" s="88"/>
      <c r="B14" s="88">
        <v>4726901001</v>
      </c>
      <c r="C14" s="88" t="s">
        <v>249</v>
      </c>
      <c r="D14" s="88">
        <v>94645</v>
      </c>
      <c r="E14" s="88" t="s">
        <v>330</v>
      </c>
      <c r="F14" s="88" t="s">
        <v>94</v>
      </c>
      <c r="G14" s="88">
        <v>57912</v>
      </c>
      <c r="H14" s="88" t="s">
        <v>331</v>
      </c>
      <c r="I14" s="88" t="s">
        <v>332</v>
      </c>
      <c r="J14" s="88">
        <v>1</v>
      </c>
      <c r="K14" s="88">
        <v>10111</v>
      </c>
      <c r="L14" s="91">
        <v>0.68402777777777779</v>
      </c>
      <c r="M14" s="88">
        <v>50</v>
      </c>
      <c r="N14" s="88">
        <v>35</v>
      </c>
      <c r="O14" s="88"/>
      <c r="P14" s="88"/>
      <c r="Q14" s="88"/>
      <c r="R14" s="88"/>
      <c r="S14" s="88"/>
      <c r="T14" s="88"/>
      <c r="U14" s="94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</row>
    <row r="15" spans="1:76" s="49" customFormat="1" x14ac:dyDescent="0.25">
      <c r="A15" s="46"/>
      <c r="B15" s="46">
        <v>4723101001</v>
      </c>
      <c r="C15" s="46" t="s">
        <v>333</v>
      </c>
      <c r="D15" s="46">
        <v>92493</v>
      </c>
      <c r="E15" s="46" t="s">
        <v>169</v>
      </c>
      <c r="F15" s="46" t="s">
        <v>110</v>
      </c>
      <c r="G15" s="46">
        <v>56762</v>
      </c>
      <c r="H15" s="46" t="s">
        <v>334</v>
      </c>
      <c r="I15" s="46" t="s">
        <v>103</v>
      </c>
      <c r="J15" s="46">
        <v>6</v>
      </c>
      <c r="K15" s="46">
        <v>10103</v>
      </c>
      <c r="L15" s="46"/>
      <c r="M15" s="46">
        <v>32</v>
      </c>
      <c r="N15" s="46">
        <v>14</v>
      </c>
      <c r="O15" s="46"/>
      <c r="P15" s="46"/>
      <c r="Q15" s="46" t="s">
        <v>335</v>
      </c>
      <c r="R15" s="46"/>
      <c r="S15" s="46">
        <v>50</v>
      </c>
      <c r="T15" s="46">
        <v>28</v>
      </c>
      <c r="U15" s="64"/>
      <c r="V15" s="46"/>
      <c r="W15" s="46" t="s">
        <v>336</v>
      </c>
      <c r="X15" s="48">
        <v>0.61111111111111116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4724501001</v>
      </c>
      <c r="C16" s="46"/>
      <c r="D16" s="46">
        <v>94611</v>
      </c>
      <c r="E16" s="46" t="s">
        <v>337</v>
      </c>
      <c r="F16" s="46">
        <v>1</v>
      </c>
      <c r="G16" s="46">
        <v>56546</v>
      </c>
      <c r="H16" s="46" t="s">
        <v>338</v>
      </c>
      <c r="I16" s="46" t="s">
        <v>166</v>
      </c>
      <c r="J16" s="46"/>
      <c r="K16" s="46"/>
      <c r="L16" s="48">
        <v>0.61805555555555558</v>
      </c>
      <c r="M16" s="46">
        <v>50</v>
      </c>
      <c r="N16" s="46">
        <v>32</v>
      </c>
      <c r="O16" s="46">
        <v>30</v>
      </c>
      <c r="P16" s="46">
        <v>38</v>
      </c>
      <c r="Q16" s="46" t="s">
        <v>339</v>
      </c>
      <c r="R16" s="48">
        <v>0.64583333333333337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21" x14ac:dyDescent="0.25">
      <c r="U17" s="21"/>
    </row>
    <row r="18" spans="1:21" x14ac:dyDescent="0.25">
      <c r="U18" s="21"/>
    </row>
    <row r="19" spans="1:21" x14ac:dyDescent="0.25">
      <c r="U19" s="21"/>
    </row>
    <row r="20" spans="1:21" x14ac:dyDescent="0.25">
      <c r="U20" s="21"/>
    </row>
    <row r="21" spans="1:21" x14ac:dyDescent="0.25">
      <c r="U21" s="21"/>
    </row>
    <row r="22" spans="1:21" x14ac:dyDescent="0.25">
      <c r="U22" s="21"/>
    </row>
    <row r="23" spans="1:21" x14ac:dyDescent="0.25">
      <c r="U23" s="21"/>
    </row>
    <row r="24" spans="1:21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</row>
  </sheetData>
  <mergeCells count="2">
    <mergeCell ref="A1:D1"/>
    <mergeCell ref="F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9E36-B280-4395-A460-9A94065EC33A}">
  <sheetPr>
    <tabColor rgb="FFFF0000"/>
  </sheetPr>
  <dimension ref="A1:BX40"/>
  <sheetViews>
    <sheetView workbookViewId="0">
      <pane ySplit="2" topLeftCell="A9" activePane="bottomLeft" state="frozen"/>
      <selection pane="bottomLeft" activeCell="H19" sqref="H19"/>
    </sheetView>
  </sheetViews>
  <sheetFormatPr defaultRowHeight="15" x14ac:dyDescent="0.25"/>
  <cols>
    <col min="1" max="1" width="19.710937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7.7109375" style="4" customWidth="1"/>
    <col min="7" max="7" width="9.7109375" style="4" customWidth="1"/>
    <col min="8" max="8" width="36.85546875" style="4" customWidth="1"/>
    <col min="9" max="9" width="29.710937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106" t="s">
        <v>340</v>
      </c>
      <c r="F1" s="234" t="s">
        <v>88</v>
      </c>
      <c r="G1" s="235"/>
      <c r="H1" s="107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4725301001</v>
      </c>
      <c r="C3" s="46" t="s">
        <v>341</v>
      </c>
      <c r="D3" s="46">
        <v>93266</v>
      </c>
      <c r="E3" s="46" t="s">
        <v>342</v>
      </c>
      <c r="F3" s="46" t="s">
        <v>94</v>
      </c>
      <c r="G3" s="46">
        <v>48650</v>
      </c>
      <c r="H3" s="46" t="s">
        <v>343</v>
      </c>
      <c r="I3" s="46" t="s">
        <v>134</v>
      </c>
      <c r="J3" s="46">
        <v>1</v>
      </c>
      <c r="K3" s="46">
        <v>10104</v>
      </c>
      <c r="L3" s="48">
        <v>0.47361111111111109</v>
      </c>
      <c r="M3" s="46">
        <v>44</v>
      </c>
      <c r="N3" s="46">
        <v>35</v>
      </c>
      <c r="O3" s="46">
        <v>49</v>
      </c>
      <c r="P3" s="46">
        <v>49</v>
      </c>
      <c r="Q3" s="46" t="s">
        <v>344</v>
      </c>
      <c r="R3" s="48">
        <v>0.68611111111111112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108" customFormat="1" x14ac:dyDescent="0.25">
      <c r="A4" s="109"/>
      <c r="B4" s="109">
        <v>4725401001</v>
      </c>
      <c r="C4" s="109" t="s">
        <v>341</v>
      </c>
      <c r="D4" s="109">
        <v>93279</v>
      </c>
      <c r="E4" s="109" t="s">
        <v>289</v>
      </c>
      <c r="F4" s="109" t="s">
        <v>94</v>
      </c>
      <c r="G4" s="109">
        <v>57199</v>
      </c>
      <c r="H4" s="109" t="s">
        <v>290</v>
      </c>
      <c r="I4" s="109" t="s">
        <v>120</v>
      </c>
      <c r="J4" s="109">
        <v>1</v>
      </c>
      <c r="K4" s="109">
        <v>10102</v>
      </c>
      <c r="L4" s="109"/>
      <c r="M4" s="109"/>
      <c r="N4" s="109"/>
      <c r="O4" s="109"/>
      <c r="P4" s="109"/>
      <c r="Q4" s="109"/>
      <c r="R4" s="109"/>
      <c r="S4" s="109"/>
      <c r="T4" s="109"/>
      <c r="U4" s="110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</row>
    <row r="5" spans="1:76" s="108" customFormat="1" x14ac:dyDescent="0.25">
      <c r="A5" s="108" t="s">
        <v>291</v>
      </c>
      <c r="B5" s="109">
        <v>4714801001</v>
      </c>
      <c r="C5" s="109" t="s">
        <v>341</v>
      </c>
      <c r="D5" s="109">
        <v>93548</v>
      </c>
      <c r="E5" s="109" t="s">
        <v>118</v>
      </c>
      <c r="F5" s="109" t="s">
        <v>110</v>
      </c>
      <c r="G5" s="109">
        <v>38992</v>
      </c>
      <c r="H5" s="109" t="s">
        <v>119</v>
      </c>
      <c r="I5" s="109" t="s">
        <v>120</v>
      </c>
      <c r="J5" s="109">
        <v>1</v>
      </c>
      <c r="K5" s="109">
        <v>10104</v>
      </c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</row>
    <row r="6" spans="1:76" s="108" customFormat="1" x14ac:dyDescent="0.25">
      <c r="A6" s="109"/>
      <c r="B6" s="109">
        <v>4687001002</v>
      </c>
      <c r="C6" s="109" t="s">
        <v>341</v>
      </c>
      <c r="D6" s="109">
        <v>94118</v>
      </c>
      <c r="E6" s="109" t="s">
        <v>141</v>
      </c>
      <c r="F6" s="109" t="s">
        <v>94</v>
      </c>
      <c r="G6" s="109">
        <v>56929</v>
      </c>
      <c r="H6" s="109" t="s">
        <v>142</v>
      </c>
      <c r="I6" s="109" t="s">
        <v>120</v>
      </c>
      <c r="J6" s="109">
        <v>2</v>
      </c>
      <c r="K6" s="109">
        <v>10102</v>
      </c>
      <c r="L6" s="109"/>
      <c r="M6" s="109"/>
      <c r="N6" s="109"/>
      <c r="O6" s="109"/>
      <c r="P6" s="109"/>
      <c r="Q6" s="109"/>
      <c r="R6" s="109"/>
      <c r="S6" s="109"/>
      <c r="T6" s="109"/>
      <c r="U6" s="111"/>
      <c r="V6" s="112"/>
      <c r="W6" s="112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</row>
    <row r="7" spans="1:76" s="49" customFormat="1" x14ac:dyDescent="0.25">
      <c r="A7" s="46"/>
      <c r="B7" s="46">
        <v>4715801001</v>
      </c>
      <c r="C7" s="46" t="s">
        <v>341</v>
      </c>
      <c r="D7" s="46">
        <v>94244</v>
      </c>
      <c r="E7" s="46" t="s">
        <v>197</v>
      </c>
      <c r="F7" s="46" t="s">
        <v>94</v>
      </c>
      <c r="G7" s="46">
        <v>57650</v>
      </c>
      <c r="H7" s="46" t="s">
        <v>345</v>
      </c>
      <c r="I7" s="46" t="s">
        <v>346</v>
      </c>
      <c r="J7" s="46">
        <v>1</v>
      </c>
      <c r="K7" s="46">
        <v>10106</v>
      </c>
      <c r="L7" s="46" t="s">
        <v>347</v>
      </c>
      <c r="M7" s="46">
        <v>50</v>
      </c>
      <c r="N7" s="46">
        <v>27</v>
      </c>
      <c r="O7" s="46">
        <v>33</v>
      </c>
      <c r="P7" s="46">
        <v>50</v>
      </c>
      <c r="Q7" s="46"/>
      <c r="R7" s="48">
        <v>0.43611111111111112</v>
      </c>
      <c r="S7" s="46"/>
      <c r="T7" s="46"/>
      <c r="U7" s="92"/>
      <c r="V7" s="93"/>
      <c r="W7" s="93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 s="108" customFormat="1" x14ac:dyDescent="0.25">
      <c r="A8" s="109"/>
      <c r="B8" s="109">
        <v>4730201001</v>
      </c>
      <c r="C8" s="109" t="s">
        <v>341</v>
      </c>
      <c r="D8" s="109">
        <v>94271</v>
      </c>
      <c r="E8" s="109" t="s">
        <v>348</v>
      </c>
      <c r="F8" s="109" t="s">
        <v>94</v>
      </c>
      <c r="G8" s="109">
        <v>48509</v>
      </c>
      <c r="H8" s="109" t="s">
        <v>349</v>
      </c>
      <c r="I8" s="109" t="s">
        <v>350</v>
      </c>
      <c r="J8" s="109">
        <v>1</v>
      </c>
      <c r="K8" s="109">
        <v>10108</v>
      </c>
      <c r="L8" s="109"/>
      <c r="M8" s="109"/>
      <c r="N8" s="109"/>
      <c r="O8" s="109"/>
      <c r="P8" s="109"/>
      <c r="Q8" s="109"/>
      <c r="R8" s="109"/>
      <c r="S8" s="109"/>
      <c r="T8" s="109"/>
      <c r="U8" s="113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</row>
    <row r="9" spans="1:76" s="108" customFormat="1" x14ac:dyDescent="0.25">
      <c r="A9" s="109"/>
      <c r="B9" s="109">
        <v>4719001003</v>
      </c>
      <c r="C9" s="109" t="s">
        <v>341</v>
      </c>
      <c r="D9" s="109">
        <v>94323</v>
      </c>
      <c r="E9" s="109" t="s">
        <v>265</v>
      </c>
      <c r="F9" s="109" t="s">
        <v>110</v>
      </c>
      <c r="G9" s="109">
        <v>51357</v>
      </c>
      <c r="H9" s="109" t="s">
        <v>294</v>
      </c>
      <c r="I9" s="109" t="s">
        <v>120</v>
      </c>
      <c r="J9" s="109">
        <v>6</v>
      </c>
      <c r="K9" s="109">
        <v>10102</v>
      </c>
      <c r="L9" s="109"/>
      <c r="M9" s="109"/>
      <c r="N9" s="109"/>
      <c r="O9" s="109"/>
      <c r="P9" s="109"/>
      <c r="Q9" s="109"/>
      <c r="R9" s="109"/>
      <c r="S9" s="109"/>
      <c r="T9" s="109"/>
      <c r="U9" s="110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</row>
    <row r="10" spans="1:76" s="108" customFormat="1" x14ac:dyDescent="0.25">
      <c r="A10" s="109" t="s">
        <v>291</v>
      </c>
      <c r="B10" s="109">
        <v>4719001004</v>
      </c>
      <c r="C10" s="109" t="s">
        <v>341</v>
      </c>
      <c r="D10" s="109">
        <v>94323</v>
      </c>
      <c r="E10" s="109" t="s">
        <v>265</v>
      </c>
      <c r="F10" s="109" t="s">
        <v>94</v>
      </c>
      <c r="G10" s="109">
        <v>49522</v>
      </c>
      <c r="H10" s="109" t="s">
        <v>295</v>
      </c>
      <c r="I10" s="109" t="s">
        <v>120</v>
      </c>
      <c r="J10" s="109">
        <v>7</v>
      </c>
      <c r="K10" s="109">
        <v>10102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10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</row>
    <row r="11" spans="1:76" s="108" customFormat="1" x14ac:dyDescent="0.25">
      <c r="A11" s="108" t="s">
        <v>291</v>
      </c>
      <c r="B11" s="109">
        <v>4712401001</v>
      </c>
      <c r="C11" s="109" t="s">
        <v>341</v>
      </c>
      <c r="D11" s="109">
        <v>94328</v>
      </c>
      <c r="E11" s="109" t="s">
        <v>265</v>
      </c>
      <c r="F11" s="109" t="s">
        <v>110</v>
      </c>
      <c r="G11" s="109">
        <v>53419</v>
      </c>
      <c r="H11" s="109" t="s">
        <v>266</v>
      </c>
      <c r="I11" s="109" t="s">
        <v>120</v>
      </c>
      <c r="J11" s="109">
        <v>5</v>
      </c>
      <c r="K11" s="109">
        <v>10102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10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</row>
    <row r="12" spans="1:76" s="49" customFormat="1" x14ac:dyDescent="0.25">
      <c r="A12" s="46"/>
      <c r="B12" s="46">
        <v>4723001001</v>
      </c>
      <c r="C12" s="46" t="s">
        <v>341</v>
      </c>
      <c r="D12" s="46">
        <v>94573</v>
      </c>
      <c r="E12" s="46" t="s">
        <v>323</v>
      </c>
      <c r="F12" s="46" t="s">
        <v>110</v>
      </c>
      <c r="G12" s="46">
        <v>49486</v>
      </c>
      <c r="H12" s="46" t="s">
        <v>324</v>
      </c>
      <c r="I12" s="46" t="s">
        <v>99</v>
      </c>
      <c r="J12" s="46">
        <v>1</v>
      </c>
      <c r="K12" s="46">
        <v>10105</v>
      </c>
      <c r="L12" s="46" t="s">
        <v>351</v>
      </c>
      <c r="M12" s="46">
        <v>53</v>
      </c>
      <c r="N12" s="46">
        <v>11</v>
      </c>
      <c r="O12" s="46">
        <v>10</v>
      </c>
      <c r="P12" s="46">
        <v>10</v>
      </c>
      <c r="Q12" s="46"/>
      <c r="R12" s="48">
        <v>0.66527777777777775</v>
      </c>
      <c r="S12" s="46">
        <v>48</v>
      </c>
      <c r="T12" s="46">
        <v>34</v>
      </c>
      <c r="U12" s="64">
        <v>48</v>
      </c>
      <c r="V12" s="46">
        <v>48</v>
      </c>
      <c r="W12" s="46"/>
      <c r="X12" s="48">
        <v>0.47569444444444442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 t="s">
        <v>180</v>
      </c>
      <c r="B13" s="46">
        <v>4727601001</v>
      </c>
      <c r="C13" s="46" t="s">
        <v>341</v>
      </c>
      <c r="D13" s="46">
        <v>94633</v>
      </c>
      <c r="E13" s="46" t="s">
        <v>307</v>
      </c>
      <c r="F13" s="46" t="s">
        <v>94</v>
      </c>
      <c r="G13" s="46">
        <v>57901</v>
      </c>
      <c r="H13" s="46" t="s">
        <v>352</v>
      </c>
      <c r="I13" s="46" t="s">
        <v>353</v>
      </c>
      <c r="J13" s="46">
        <v>1</v>
      </c>
      <c r="K13" s="46">
        <v>10104</v>
      </c>
      <c r="L13" s="46" t="s">
        <v>354</v>
      </c>
      <c r="M13" s="46">
        <v>38</v>
      </c>
      <c r="N13" s="46">
        <v>30</v>
      </c>
      <c r="O13" s="46"/>
      <c r="P13" s="46"/>
      <c r="Q13" s="46"/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/>
      <c r="B14" s="46"/>
      <c r="C14" s="46"/>
      <c r="D14" s="46"/>
      <c r="E14" s="46" t="s">
        <v>355</v>
      </c>
      <c r="F14" s="46">
        <v>4</v>
      </c>
      <c r="G14" s="46"/>
      <c r="H14" s="46"/>
      <c r="I14" s="46"/>
      <c r="J14" s="46"/>
      <c r="K14" s="46"/>
      <c r="L14" s="46"/>
      <c r="M14" s="46">
        <v>4</v>
      </c>
      <c r="N14" s="46">
        <v>2</v>
      </c>
      <c r="O14" s="46">
        <v>1</v>
      </c>
      <c r="P14" s="46">
        <v>1</v>
      </c>
      <c r="Q14" s="46" t="s">
        <v>356</v>
      </c>
      <c r="R14" s="46"/>
      <c r="S14" s="46">
        <v>5</v>
      </c>
      <c r="T14" s="46">
        <v>5</v>
      </c>
      <c r="U14" s="64">
        <v>4</v>
      </c>
      <c r="V14" s="46">
        <v>4</v>
      </c>
      <c r="W14" s="46" t="s">
        <v>357</v>
      </c>
      <c r="X14" s="46"/>
      <c r="Y14" s="46">
        <v>3</v>
      </c>
      <c r="Z14" s="46">
        <v>3</v>
      </c>
      <c r="AA14" s="46">
        <v>2</v>
      </c>
      <c r="AB14" s="46">
        <v>2</v>
      </c>
      <c r="AC14" s="46"/>
      <c r="AD14" s="46"/>
      <c r="AE14" s="46">
        <v>3</v>
      </c>
      <c r="AF14" s="46">
        <v>2</v>
      </c>
      <c r="AG14" s="46">
        <v>6</v>
      </c>
      <c r="AH14" s="46">
        <v>6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4726201001</v>
      </c>
      <c r="C15" s="46" t="s">
        <v>358</v>
      </c>
      <c r="D15" s="46">
        <v>93525</v>
      </c>
      <c r="E15" s="46" t="s">
        <v>359</v>
      </c>
      <c r="F15" s="46" t="s">
        <v>110</v>
      </c>
      <c r="G15" s="46">
        <v>56501</v>
      </c>
      <c r="H15" s="46" t="s">
        <v>360</v>
      </c>
      <c r="I15" s="46" t="s">
        <v>103</v>
      </c>
      <c r="J15" s="46">
        <v>1</v>
      </c>
      <c r="K15" s="46">
        <v>10107</v>
      </c>
      <c r="L15" s="46"/>
      <c r="M15" s="46">
        <v>17</v>
      </c>
      <c r="N15" s="46">
        <v>12</v>
      </c>
      <c r="O15" s="46">
        <v>10</v>
      </c>
      <c r="P15" s="46">
        <v>10</v>
      </c>
      <c r="Q15" s="46" t="s">
        <v>361</v>
      </c>
      <c r="R15" s="46"/>
      <c r="S15" s="46">
        <v>12</v>
      </c>
      <c r="T15" s="46">
        <v>10</v>
      </c>
      <c r="U15" s="64">
        <v>10</v>
      </c>
      <c r="V15" s="46">
        <v>10</v>
      </c>
      <c r="W15" s="46" t="s">
        <v>362</v>
      </c>
      <c r="X15" s="48">
        <v>0.57986111111111116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4678801002</v>
      </c>
      <c r="C16" s="46"/>
      <c r="D16" s="46">
        <v>93887</v>
      </c>
      <c r="E16" s="46" t="s">
        <v>363</v>
      </c>
      <c r="F16" s="46">
        <v>1</v>
      </c>
      <c r="G16" s="46">
        <v>57524</v>
      </c>
      <c r="H16" s="46" t="s">
        <v>364</v>
      </c>
      <c r="I16" s="46" t="s">
        <v>166</v>
      </c>
      <c r="J16" s="46"/>
      <c r="K16" s="46"/>
      <c r="L16" s="48">
        <v>0.6118055555555556</v>
      </c>
      <c r="M16" s="46">
        <v>32</v>
      </c>
      <c r="N16" s="46">
        <v>10</v>
      </c>
      <c r="O16" s="46">
        <v>11</v>
      </c>
      <c r="P16" s="46">
        <v>26</v>
      </c>
      <c r="Q16" s="46" t="s">
        <v>365</v>
      </c>
      <c r="R16" s="48" t="s">
        <v>366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s="63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2"/>
      <c r="U25" s="68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</row>
    <row r="26" spans="1:76" s="61" customForma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0"/>
      <c r="U26" s="69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</row>
  </sheetData>
  <mergeCells count="2">
    <mergeCell ref="A1:D1"/>
    <mergeCell ref="F1:G1"/>
  </mergeCells>
  <conditionalFormatting sqref="I1:I1048576">
    <cfRule type="containsText" dxfId="55" priority="1" operator="containsText" text="ALFA TRANSPORTES">
      <formula>NOT(ISERROR(SEARCH("ALFA TRANSPORTES",I1)))</formula>
    </cfRule>
    <cfRule type="containsText" dxfId="54" priority="2" operator="containsText" text="NEW BIGTRANS">
      <formula>NOT(ISERROR(SEARCH("NEW BIGTRANS",I1)))</formula>
    </cfRule>
    <cfRule type="containsText" dxfId="53" priority="3" operator="containsText" text="EXPRESSO SAO MIGUEL">
      <formula>NOT(ISERROR(SEARCH("EXPRESSO SAO MIGUEL",I1)))</formula>
    </cfRule>
    <cfRule type="containsText" dxfId="52" priority="4" operator="containsText" text="RODONAVES">
      <formula>NOT(ISERROR(SEARCH("RODONAVES",I1)))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8307-4AEB-4CE7-925F-7AAC2733E03C}">
  <sheetPr>
    <tabColor rgb="FFFFFF00"/>
  </sheetPr>
  <dimension ref="A1:U64"/>
  <sheetViews>
    <sheetView showGridLines="0" workbookViewId="0">
      <selection activeCell="A6" sqref="A6"/>
    </sheetView>
  </sheetViews>
  <sheetFormatPr defaultRowHeight="15" x14ac:dyDescent="0.25"/>
  <sheetData>
    <row r="1" spans="1:21" x14ac:dyDescent="0.25">
      <c r="A1" s="195" t="s">
        <v>367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23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20</v>
      </c>
      <c r="F19" s="192"/>
      <c r="G19" s="194">
        <f>E19-(E22/2)</f>
        <v>13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40</v>
      </c>
      <c r="F20" s="192"/>
      <c r="G20" s="194">
        <f>E20-(E22/2)</f>
        <v>33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40</v>
      </c>
      <c r="F21" s="192"/>
      <c r="G21" s="194">
        <f>E21-(E22/2)</f>
        <v>33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14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0.7</v>
      </c>
      <c r="E29" s="35">
        <f>B29+D29</f>
        <v>30.7</v>
      </c>
      <c r="F29" s="177">
        <f>$E$19</f>
        <v>20</v>
      </c>
      <c r="G29" s="178"/>
      <c r="H29" s="34">
        <v>0.6</v>
      </c>
      <c r="I29" s="175">
        <f>F29+H29</f>
        <v>20.6</v>
      </c>
      <c r="J29" s="176"/>
      <c r="M29" s="179">
        <f>$E$18</f>
        <v>30</v>
      </c>
      <c r="N29" s="180"/>
      <c r="O29" s="36">
        <v>0.8</v>
      </c>
      <c r="P29" s="37">
        <f>M29+O29</f>
        <v>30.8</v>
      </c>
      <c r="Q29" s="179">
        <f>$E$19</f>
        <v>20</v>
      </c>
      <c r="R29" s="180"/>
      <c r="S29" s="36">
        <v>0.6</v>
      </c>
      <c r="T29" s="181">
        <f>Q29+S29</f>
        <v>20.6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/>
      <c r="E31" s="40">
        <f t="shared" ref="E31:E38" si="0">$E$20+D31</f>
        <v>40</v>
      </c>
      <c r="F31" s="167" t="s">
        <v>16</v>
      </c>
      <c r="G31" s="168"/>
      <c r="H31" s="34"/>
      <c r="I31" s="175">
        <f t="shared" ref="I31:I38" si="1">$E$21+H31</f>
        <v>40</v>
      </c>
      <c r="J31" s="176"/>
      <c r="M31" s="166" t="s">
        <v>17</v>
      </c>
      <c r="N31" s="166"/>
      <c r="O31" s="39">
        <v>0.1</v>
      </c>
      <c r="P31" s="40">
        <f t="shared" ref="P31:P38" si="2">$E$20+O31</f>
        <v>40.1</v>
      </c>
      <c r="Q31" s="167" t="s">
        <v>17</v>
      </c>
      <c r="R31" s="168"/>
      <c r="S31" s="34"/>
      <c r="T31" s="175">
        <f t="shared" ref="T31:T38" si="3">$E$21+S31</f>
        <v>40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40</v>
      </c>
      <c r="F32" s="167" t="s">
        <v>18</v>
      </c>
      <c r="G32" s="168"/>
      <c r="H32" s="38"/>
      <c r="I32" s="175">
        <f t="shared" si="1"/>
        <v>40</v>
      </c>
      <c r="J32" s="176"/>
      <c r="M32" s="166" t="s">
        <v>18</v>
      </c>
      <c r="N32" s="166"/>
      <c r="O32" s="41"/>
      <c r="P32" s="40">
        <f t="shared" si="2"/>
        <v>40</v>
      </c>
      <c r="Q32" s="167" t="s">
        <v>18</v>
      </c>
      <c r="R32" s="168"/>
      <c r="S32" s="38"/>
      <c r="T32" s="175">
        <f t="shared" si="3"/>
        <v>40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40</v>
      </c>
      <c r="F33" s="167" t="s">
        <v>18</v>
      </c>
      <c r="G33" s="168"/>
      <c r="H33" s="38"/>
      <c r="I33" s="175">
        <f t="shared" si="1"/>
        <v>40</v>
      </c>
      <c r="J33" s="176"/>
      <c r="M33" s="166" t="s">
        <v>18</v>
      </c>
      <c r="N33" s="166"/>
      <c r="O33" s="41"/>
      <c r="P33" s="40">
        <f t="shared" si="2"/>
        <v>40</v>
      </c>
      <c r="Q33" s="167" t="s">
        <v>18</v>
      </c>
      <c r="R33" s="168"/>
      <c r="S33" s="38"/>
      <c r="T33" s="175">
        <f t="shared" si="3"/>
        <v>40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40</v>
      </c>
      <c r="F34" s="167" t="s">
        <v>18</v>
      </c>
      <c r="G34" s="168"/>
      <c r="H34" s="38"/>
      <c r="I34" s="175">
        <f t="shared" si="1"/>
        <v>40</v>
      </c>
      <c r="J34" s="176"/>
      <c r="M34" s="166" t="s">
        <v>19</v>
      </c>
      <c r="N34" s="166"/>
      <c r="O34" s="41"/>
      <c r="P34" s="40">
        <f t="shared" si="2"/>
        <v>40</v>
      </c>
      <c r="Q34" s="167" t="s">
        <v>18</v>
      </c>
      <c r="R34" s="168"/>
      <c r="S34" s="38"/>
      <c r="T34" s="175">
        <f t="shared" si="3"/>
        <v>40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40</v>
      </c>
      <c r="F35" s="167" t="s">
        <v>18</v>
      </c>
      <c r="G35" s="168"/>
      <c r="H35" s="38"/>
      <c r="I35" s="175">
        <f t="shared" si="1"/>
        <v>40</v>
      </c>
      <c r="J35" s="176"/>
      <c r="M35" s="166" t="s">
        <v>18</v>
      </c>
      <c r="N35" s="166"/>
      <c r="O35" s="41"/>
      <c r="P35" s="40">
        <f t="shared" si="2"/>
        <v>40</v>
      </c>
      <c r="Q35" s="167" t="s">
        <v>18</v>
      </c>
      <c r="R35" s="168"/>
      <c r="S35" s="38"/>
      <c r="T35" s="175">
        <f t="shared" si="3"/>
        <v>40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40</v>
      </c>
      <c r="F36" s="167" t="s">
        <v>18</v>
      </c>
      <c r="G36" s="168"/>
      <c r="H36" s="38"/>
      <c r="I36" s="175">
        <f t="shared" si="1"/>
        <v>40</v>
      </c>
      <c r="J36" s="176"/>
      <c r="M36" s="166" t="s">
        <v>18</v>
      </c>
      <c r="N36" s="166"/>
      <c r="O36" s="41"/>
      <c r="P36" s="40">
        <f t="shared" si="2"/>
        <v>40</v>
      </c>
      <c r="Q36" s="167" t="s">
        <v>18</v>
      </c>
      <c r="R36" s="168"/>
      <c r="S36" s="38"/>
      <c r="T36" s="175">
        <f t="shared" si="3"/>
        <v>40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40</v>
      </c>
      <c r="F37" s="167" t="s">
        <v>18</v>
      </c>
      <c r="G37" s="168"/>
      <c r="H37" s="38"/>
      <c r="I37" s="175">
        <f t="shared" si="1"/>
        <v>40</v>
      </c>
      <c r="J37" s="176"/>
      <c r="M37" s="166" t="s">
        <v>18</v>
      </c>
      <c r="N37" s="166"/>
      <c r="O37" s="41"/>
      <c r="P37" s="40">
        <f t="shared" si="2"/>
        <v>40</v>
      </c>
      <c r="Q37" s="167" t="s">
        <v>18</v>
      </c>
      <c r="R37" s="168"/>
      <c r="S37" s="38"/>
      <c r="T37" s="175">
        <f t="shared" si="3"/>
        <v>40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40</v>
      </c>
      <c r="F38" s="167" t="s">
        <v>18</v>
      </c>
      <c r="G38" s="168"/>
      <c r="H38" s="38"/>
      <c r="I38" s="175">
        <f t="shared" si="1"/>
        <v>40</v>
      </c>
      <c r="J38" s="176"/>
      <c r="M38" s="166" t="s">
        <v>18</v>
      </c>
      <c r="N38" s="166"/>
      <c r="O38" s="41"/>
      <c r="P38" s="40">
        <f t="shared" si="2"/>
        <v>40</v>
      </c>
      <c r="Q38" s="167" t="s">
        <v>18</v>
      </c>
      <c r="R38" s="168"/>
      <c r="S38" s="38"/>
      <c r="T38" s="175">
        <f t="shared" si="3"/>
        <v>40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20</v>
      </c>
      <c r="G42" s="178"/>
      <c r="H42" s="34"/>
      <c r="I42" s="175">
        <f>F42+H42</f>
        <v>20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20</v>
      </c>
      <c r="R42" s="180"/>
      <c r="S42" s="36"/>
      <c r="T42" s="181">
        <f>Q42+S42</f>
        <v>20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40</v>
      </c>
      <c r="F44" s="167" t="s">
        <v>16</v>
      </c>
      <c r="G44" s="168"/>
      <c r="H44" s="34"/>
      <c r="I44" s="175">
        <f t="shared" ref="I44:I51" si="5">$E$21+H44</f>
        <v>40</v>
      </c>
      <c r="J44" s="176"/>
      <c r="M44" s="166" t="s">
        <v>17</v>
      </c>
      <c r="N44" s="166"/>
      <c r="O44" s="39"/>
      <c r="P44" s="40">
        <f t="shared" ref="P44:P51" si="6">$E$20+O44</f>
        <v>40</v>
      </c>
      <c r="Q44" s="167" t="s">
        <v>17</v>
      </c>
      <c r="R44" s="168"/>
      <c r="S44" s="34"/>
      <c r="T44" s="175">
        <f t="shared" ref="T44:T51" si="7">$E$21+S44</f>
        <v>40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40</v>
      </c>
      <c r="F45" s="167" t="s">
        <v>18</v>
      </c>
      <c r="G45" s="168"/>
      <c r="H45" s="38"/>
      <c r="I45" s="175">
        <f t="shared" si="5"/>
        <v>40</v>
      </c>
      <c r="J45" s="176"/>
      <c r="M45" s="166" t="s">
        <v>18</v>
      </c>
      <c r="N45" s="166"/>
      <c r="O45" s="41"/>
      <c r="P45" s="40">
        <f t="shared" si="6"/>
        <v>40</v>
      </c>
      <c r="Q45" s="167" t="s">
        <v>18</v>
      </c>
      <c r="R45" s="168"/>
      <c r="S45" s="38"/>
      <c r="T45" s="175">
        <f t="shared" si="7"/>
        <v>40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40</v>
      </c>
      <c r="F46" s="167" t="s">
        <v>18</v>
      </c>
      <c r="G46" s="168"/>
      <c r="H46" s="38"/>
      <c r="I46" s="175">
        <f t="shared" si="5"/>
        <v>40</v>
      </c>
      <c r="J46" s="176"/>
      <c r="M46" s="166" t="s">
        <v>18</v>
      </c>
      <c r="N46" s="166"/>
      <c r="O46" s="41"/>
      <c r="P46" s="40">
        <f t="shared" si="6"/>
        <v>40</v>
      </c>
      <c r="Q46" s="167" t="s">
        <v>18</v>
      </c>
      <c r="R46" s="168"/>
      <c r="S46" s="38"/>
      <c r="T46" s="175">
        <f t="shared" si="7"/>
        <v>40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40</v>
      </c>
      <c r="F47" s="167" t="s">
        <v>18</v>
      </c>
      <c r="G47" s="168"/>
      <c r="H47" s="38"/>
      <c r="I47" s="175">
        <f t="shared" si="5"/>
        <v>40</v>
      </c>
      <c r="J47" s="176"/>
      <c r="M47" s="166" t="s">
        <v>19</v>
      </c>
      <c r="N47" s="166"/>
      <c r="O47" s="41"/>
      <c r="P47" s="40">
        <f t="shared" si="6"/>
        <v>40</v>
      </c>
      <c r="Q47" s="167" t="s">
        <v>18</v>
      </c>
      <c r="R47" s="168"/>
      <c r="S47" s="38"/>
      <c r="T47" s="175">
        <f t="shared" si="7"/>
        <v>40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40</v>
      </c>
      <c r="F48" s="167" t="s">
        <v>18</v>
      </c>
      <c r="G48" s="168"/>
      <c r="H48" s="38"/>
      <c r="I48" s="175">
        <f t="shared" si="5"/>
        <v>40</v>
      </c>
      <c r="J48" s="176"/>
      <c r="M48" s="166" t="s">
        <v>18</v>
      </c>
      <c r="N48" s="166"/>
      <c r="O48" s="41"/>
      <c r="P48" s="40">
        <f t="shared" si="6"/>
        <v>40</v>
      </c>
      <c r="Q48" s="167" t="s">
        <v>18</v>
      </c>
      <c r="R48" s="168"/>
      <c r="S48" s="38"/>
      <c r="T48" s="175">
        <f t="shared" si="7"/>
        <v>40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40</v>
      </c>
      <c r="F49" s="167" t="s">
        <v>18</v>
      </c>
      <c r="G49" s="168"/>
      <c r="H49" s="38"/>
      <c r="I49" s="175">
        <f t="shared" si="5"/>
        <v>40</v>
      </c>
      <c r="J49" s="176"/>
      <c r="M49" s="166" t="s">
        <v>18</v>
      </c>
      <c r="N49" s="166"/>
      <c r="O49" s="41"/>
      <c r="P49" s="40">
        <f t="shared" si="6"/>
        <v>40</v>
      </c>
      <c r="Q49" s="167" t="s">
        <v>18</v>
      </c>
      <c r="R49" s="168"/>
      <c r="S49" s="38"/>
      <c r="T49" s="175">
        <f t="shared" si="7"/>
        <v>40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40</v>
      </c>
      <c r="F50" s="167" t="s">
        <v>18</v>
      </c>
      <c r="G50" s="168"/>
      <c r="H50" s="38"/>
      <c r="I50" s="175">
        <f t="shared" si="5"/>
        <v>40</v>
      </c>
      <c r="J50" s="176"/>
      <c r="M50" s="166" t="s">
        <v>18</v>
      </c>
      <c r="N50" s="166"/>
      <c r="O50" s="41"/>
      <c r="P50" s="40">
        <f t="shared" si="6"/>
        <v>40</v>
      </c>
      <c r="Q50" s="167" t="s">
        <v>18</v>
      </c>
      <c r="R50" s="168"/>
      <c r="S50" s="38"/>
      <c r="T50" s="175">
        <f t="shared" si="7"/>
        <v>40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40</v>
      </c>
      <c r="F51" s="167" t="s">
        <v>18</v>
      </c>
      <c r="G51" s="168"/>
      <c r="H51" s="38"/>
      <c r="I51" s="175">
        <f t="shared" si="5"/>
        <v>40</v>
      </c>
      <c r="J51" s="176"/>
      <c r="M51" s="166" t="s">
        <v>18</v>
      </c>
      <c r="N51" s="166"/>
      <c r="O51" s="41"/>
      <c r="P51" s="40">
        <f t="shared" si="6"/>
        <v>40</v>
      </c>
      <c r="Q51" s="167" t="s">
        <v>18</v>
      </c>
      <c r="R51" s="168"/>
      <c r="S51" s="38"/>
      <c r="T51" s="175">
        <f t="shared" si="7"/>
        <v>40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20</v>
      </c>
      <c r="G55" s="178"/>
      <c r="H55" s="34"/>
      <c r="I55" s="175">
        <f>F55+H55</f>
        <v>20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20</v>
      </c>
      <c r="R55" s="180"/>
      <c r="S55" s="36"/>
      <c r="T55" s="181">
        <f>Q55+S55</f>
        <v>20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40</v>
      </c>
      <c r="F57" s="167" t="s">
        <v>16</v>
      </c>
      <c r="G57" s="168"/>
      <c r="H57" s="34"/>
      <c r="I57" s="175">
        <f t="shared" ref="I57:I64" si="9">$E$21+H57</f>
        <v>40</v>
      </c>
      <c r="J57" s="176"/>
      <c r="M57" s="166" t="s">
        <v>17</v>
      </c>
      <c r="N57" s="166"/>
      <c r="O57" s="39"/>
      <c r="P57" s="40">
        <f t="shared" ref="P57:P64" si="10">$E$20+O57</f>
        <v>40</v>
      </c>
      <c r="Q57" s="167" t="s">
        <v>17</v>
      </c>
      <c r="R57" s="168"/>
      <c r="S57" s="34"/>
      <c r="T57" s="175">
        <f t="shared" ref="T57:T64" si="11">$E$21+S57</f>
        <v>40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40</v>
      </c>
      <c r="F58" s="167" t="s">
        <v>18</v>
      </c>
      <c r="G58" s="168"/>
      <c r="H58" s="38"/>
      <c r="I58" s="175">
        <f t="shared" si="9"/>
        <v>40</v>
      </c>
      <c r="J58" s="176"/>
      <c r="M58" s="166" t="s">
        <v>18</v>
      </c>
      <c r="N58" s="166"/>
      <c r="O58" s="41"/>
      <c r="P58" s="40">
        <f t="shared" si="10"/>
        <v>40</v>
      </c>
      <c r="Q58" s="167" t="s">
        <v>18</v>
      </c>
      <c r="R58" s="168"/>
      <c r="S58" s="38"/>
      <c r="T58" s="175">
        <f t="shared" si="11"/>
        <v>40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40</v>
      </c>
      <c r="F59" s="167" t="s">
        <v>18</v>
      </c>
      <c r="G59" s="168"/>
      <c r="H59" s="38"/>
      <c r="I59" s="175">
        <f t="shared" si="9"/>
        <v>40</v>
      </c>
      <c r="J59" s="176"/>
      <c r="M59" s="166" t="s">
        <v>18</v>
      </c>
      <c r="N59" s="166"/>
      <c r="O59" s="41"/>
      <c r="P59" s="40">
        <f t="shared" si="10"/>
        <v>40</v>
      </c>
      <c r="Q59" s="167" t="s">
        <v>18</v>
      </c>
      <c r="R59" s="168"/>
      <c r="S59" s="38"/>
      <c r="T59" s="175">
        <f t="shared" si="11"/>
        <v>40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40</v>
      </c>
      <c r="F60" s="167" t="s">
        <v>18</v>
      </c>
      <c r="G60" s="168"/>
      <c r="H60" s="38"/>
      <c r="I60" s="175">
        <f t="shared" si="9"/>
        <v>40</v>
      </c>
      <c r="J60" s="176"/>
      <c r="M60" s="166" t="s">
        <v>19</v>
      </c>
      <c r="N60" s="166"/>
      <c r="O60" s="41"/>
      <c r="P60" s="40">
        <f t="shared" si="10"/>
        <v>40</v>
      </c>
      <c r="Q60" s="167" t="s">
        <v>18</v>
      </c>
      <c r="R60" s="168"/>
      <c r="S60" s="38"/>
      <c r="T60" s="175">
        <f t="shared" si="11"/>
        <v>40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40</v>
      </c>
      <c r="F61" s="167" t="s">
        <v>18</v>
      </c>
      <c r="G61" s="168"/>
      <c r="H61" s="38"/>
      <c r="I61" s="175">
        <f t="shared" si="9"/>
        <v>40</v>
      </c>
      <c r="J61" s="176"/>
      <c r="M61" s="166" t="s">
        <v>18</v>
      </c>
      <c r="N61" s="166"/>
      <c r="O61" s="41"/>
      <c r="P61" s="40">
        <f t="shared" si="10"/>
        <v>40</v>
      </c>
      <c r="Q61" s="167" t="s">
        <v>18</v>
      </c>
      <c r="R61" s="168"/>
      <c r="S61" s="38"/>
      <c r="T61" s="175">
        <f t="shared" si="11"/>
        <v>40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40</v>
      </c>
      <c r="F62" s="167" t="s">
        <v>18</v>
      </c>
      <c r="G62" s="168"/>
      <c r="H62" s="38"/>
      <c r="I62" s="175">
        <f t="shared" si="9"/>
        <v>40</v>
      </c>
      <c r="J62" s="176"/>
      <c r="M62" s="166" t="s">
        <v>18</v>
      </c>
      <c r="N62" s="166"/>
      <c r="O62" s="41"/>
      <c r="P62" s="40">
        <f t="shared" si="10"/>
        <v>40</v>
      </c>
      <c r="Q62" s="167" t="s">
        <v>18</v>
      </c>
      <c r="R62" s="168"/>
      <c r="S62" s="38"/>
      <c r="T62" s="175">
        <f t="shared" si="11"/>
        <v>40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40</v>
      </c>
      <c r="F63" s="167" t="s">
        <v>18</v>
      </c>
      <c r="G63" s="168"/>
      <c r="H63" s="38"/>
      <c r="I63" s="175">
        <f t="shared" si="9"/>
        <v>40</v>
      </c>
      <c r="J63" s="176"/>
      <c r="M63" s="166" t="s">
        <v>18</v>
      </c>
      <c r="N63" s="166"/>
      <c r="O63" s="41"/>
      <c r="P63" s="40">
        <f t="shared" si="10"/>
        <v>40</v>
      </c>
      <c r="Q63" s="167" t="s">
        <v>18</v>
      </c>
      <c r="R63" s="168"/>
      <c r="S63" s="38"/>
      <c r="T63" s="175">
        <f t="shared" si="11"/>
        <v>40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40</v>
      </c>
      <c r="F64" s="167" t="s">
        <v>18</v>
      </c>
      <c r="G64" s="168"/>
      <c r="H64" s="38"/>
      <c r="I64" s="175">
        <f t="shared" si="9"/>
        <v>40</v>
      </c>
      <c r="J64" s="176"/>
      <c r="M64" s="166" t="s">
        <v>18</v>
      </c>
      <c r="N64" s="166"/>
      <c r="O64" s="41"/>
      <c r="P64" s="40">
        <f t="shared" si="10"/>
        <v>40</v>
      </c>
      <c r="Q64" s="167" t="s">
        <v>18</v>
      </c>
      <c r="R64" s="168"/>
      <c r="S64" s="38"/>
      <c r="T64" s="175">
        <f t="shared" si="11"/>
        <v>40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2DE9-4C2D-460B-BDC2-B11B65CD25D3}">
  <sheetPr>
    <tabColor rgb="FFFFFF00"/>
  </sheetPr>
  <dimension ref="A1:U64"/>
  <sheetViews>
    <sheetView showGridLines="0" topLeftCell="A14" workbookViewId="0">
      <selection activeCell="E22" sqref="E22:F22"/>
    </sheetView>
  </sheetViews>
  <sheetFormatPr defaultRowHeight="15" x14ac:dyDescent="0.25"/>
  <sheetData>
    <row r="1" spans="1:21" x14ac:dyDescent="0.25">
      <c r="A1" s="195" t="s">
        <v>368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26.25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26.25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26.25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26.25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7.5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0.45</v>
      </c>
      <c r="E29" s="35">
        <f>B29+D29</f>
        <v>30.45</v>
      </c>
      <c r="F29" s="177">
        <f>$E$19</f>
        <v>30</v>
      </c>
      <c r="G29" s="178"/>
      <c r="H29" s="34">
        <v>0.25</v>
      </c>
      <c r="I29" s="175">
        <f>F29+H29</f>
        <v>30.25</v>
      </c>
      <c r="J29" s="176"/>
      <c r="M29" s="179">
        <f>$E$18</f>
        <v>30</v>
      </c>
      <c r="N29" s="180"/>
      <c r="O29" s="36"/>
      <c r="P29" s="37">
        <f>M29+O29</f>
        <v>30</v>
      </c>
      <c r="Q29" s="179">
        <f>$E$19</f>
        <v>30</v>
      </c>
      <c r="R29" s="180"/>
      <c r="S29" s="36"/>
      <c r="T29" s="181">
        <f>Q29+S29</f>
        <v>30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30</v>
      </c>
      <c r="F31" s="167" t="s">
        <v>16</v>
      </c>
      <c r="G31" s="168"/>
      <c r="H31" s="34">
        <v>0.1</v>
      </c>
      <c r="I31" s="175">
        <f t="shared" ref="I31:I38" si="1">$E$21+H31</f>
        <v>30.1</v>
      </c>
      <c r="J31" s="176"/>
      <c r="M31" s="166" t="s">
        <v>17</v>
      </c>
      <c r="N31" s="166"/>
      <c r="O31" s="39"/>
      <c r="P31" s="40">
        <f t="shared" ref="P31:P38" si="2">$E$20+O31</f>
        <v>30</v>
      </c>
      <c r="Q31" s="167" t="s">
        <v>17</v>
      </c>
      <c r="R31" s="168"/>
      <c r="S31" s="34"/>
      <c r="T31" s="175">
        <f t="shared" ref="T31:T38" si="3"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DB24-F836-4F27-B33C-86F9C2D5F9ED}">
  <sheetPr>
    <tabColor rgb="FFFFFF00"/>
  </sheetPr>
  <dimension ref="A1:U64"/>
  <sheetViews>
    <sheetView showGridLines="0" workbookViewId="0">
      <selection activeCell="H30" sqref="B30:J30"/>
    </sheetView>
  </sheetViews>
  <sheetFormatPr defaultRowHeight="15" x14ac:dyDescent="0.25"/>
  <sheetData>
    <row r="1" spans="1:21" x14ac:dyDescent="0.25">
      <c r="A1" s="195" t="s">
        <v>368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25.25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25.25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25.25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25.25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9.5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0.9</v>
      </c>
      <c r="E29" s="35">
        <f>B29+D29</f>
        <v>30.9</v>
      </c>
      <c r="F29" s="177">
        <f>$E$19</f>
        <v>30</v>
      </c>
      <c r="G29" s="178"/>
      <c r="H29" s="34">
        <v>0.45</v>
      </c>
      <c r="I29" s="175">
        <f>F29+H29</f>
        <v>30.45</v>
      </c>
      <c r="J29" s="176"/>
      <c r="M29" s="179">
        <f>$E$18</f>
        <v>30</v>
      </c>
      <c r="N29" s="180"/>
      <c r="O29" s="36"/>
      <c r="P29" s="37">
        <f>M29+O29</f>
        <v>30</v>
      </c>
      <c r="Q29" s="179">
        <f>$E$19</f>
        <v>30</v>
      </c>
      <c r="R29" s="180"/>
      <c r="S29" s="36"/>
      <c r="T29" s="181">
        <f>Q29+S29</f>
        <v>30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-0.05</v>
      </c>
      <c r="E31" s="40">
        <f t="shared" ref="E31:E38" si="0">$E$20+D31</f>
        <v>29.95</v>
      </c>
      <c r="F31" s="167" t="s">
        <v>16</v>
      </c>
      <c r="G31" s="168"/>
      <c r="H31" s="34">
        <v>0</v>
      </c>
      <c r="I31" s="175">
        <f t="shared" ref="I31:I38" si="1">$E$21+H31</f>
        <v>30</v>
      </c>
      <c r="J31" s="176"/>
      <c r="M31" s="166" t="s">
        <v>17</v>
      </c>
      <c r="N31" s="166"/>
      <c r="O31" s="39"/>
      <c r="P31" s="40">
        <f t="shared" ref="P31:P38" si="2">$E$20+O31</f>
        <v>30</v>
      </c>
      <c r="Q31" s="167" t="s">
        <v>17</v>
      </c>
      <c r="R31" s="168"/>
      <c r="S31" s="34"/>
      <c r="T31" s="175">
        <f t="shared" ref="T31:T38" si="3"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B50C-E3DB-4B39-9910-1A5B177DF303}">
  <sheetPr>
    <tabColor rgb="FFFF0000"/>
  </sheetPr>
  <dimension ref="A1:BX41"/>
  <sheetViews>
    <sheetView workbookViewId="0">
      <pane ySplit="2" topLeftCell="A14" activePane="bottomLeft" state="frozen"/>
      <selection pane="bottomLeft" activeCell="E28" sqref="E28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9.85546875" style="4" customWidth="1"/>
    <col min="7" max="7" width="11" style="4" customWidth="1"/>
    <col min="8" max="8" width="70.71093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31" t="s">
        <v>28</v>
      </c>
      <c r="B1" s="232"/>
      <c r="C1" s="232"/>
      <c r="D1" s="233"/>
      <c r="E1" s="115" t="s">
        <v>29</v>
      </c>
      <c r="F1" s="236" t="s">
        <v>30</v>
      </c>
      <c r="G1" s="237"/>
      <c r="H1" s="116" t="s">
        <v>31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4731101001</v>
      </c>
      <c r="C3" s="46" t="s">
        <v>333</v>
      </c>
      <c r="D3" s="46">
        <v>94665</v>
      </c>
      <c r="E3" s="46" t="s">
        <v>369</v>
      </c>
      <c r="F3" s="46" t="s">
        <v>94</v>
      </c>
      <c r="G3" s="46">
        <v>57929</v>
      </c>
      <c r="H3" s="46" t="s">
        <v>370</v>
      </c>
      <c r="I3" s="46" t="s">
        <v>120</v>
      </c>
      <c r="J3" s="46"/>
      <c r="K3" s="46"/>
      <c r="L3" s="46" t="s">
        <v>371</v>
      </c>
      <c r="M3" s="46">
        <v>50</v>
      </c>
      <c r="N3" s="46">
        <v>36</v>
      </c>
      <c r="O3" s="46">
        <v>23</v>
      </c>
      <c r="P3" s="46">
        <v>23</v>
      </c>
      <c r="Q3" s="46" t="s">
        <v>372</v>
      </c>
      <c r="R3" s="48">
        <v>0.40972222222222221</v>
      </c>
      <c r="S3" s="46"/>
      <c r="T3" s="46"/>
      <c r="U3" s="92"/>
      <c r="V3" s="93"/>
      <c r="W3" s="93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6"/>
      <c r="B4" s="46">
        <v>4731101002</v>
      </c>
      <c r="C4" s="46" t="s">
        <v>333</v>
      </c>
      <c r="D4" s="46">
        <v>94665</v>
      </c>
      <c r="E4" s="46" t="s">
        <v>369</v>
      </c>
      <c r="F4" s="46" t="s">
        <v>94</v>
      </c>
      <c r="G4" s="46">
        <v>57929</v>
      </c>
      <c r="H4" s="46" t="s">
        <v>370</v>
      </c>
      <c r="I4" s="46" t="s">
        <v>120</v>
      </c>
      <c r="J4" s="46"/>
      <c r="K4" s="46"/>
      <c r="L4" s="46" t="s">
        <v>373</v>
      </c>
      <c r="M4" s="46">
        <v>50</v>
      </c>
      <c r="N4" s="46">
        <v>50</v>
      </c>
      <c r="O4" s="46">
        <v>50</v>
      </c>
      <c r="P4" s="46">
        <v>50</v>
      </c>
      <c r="Q4" s="46" t="s">
        <v>374</v>
      </c>
      <c r="R4" s="48">
        <v>0.54166666666666663</v>
      </c>
      <c r="S4" s="46"/>
      <c r="T4" s="46"/>
      <c r="U4" s="117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49" customFormat="1" x14ac:dyDescent="0.25">
      <c r="A5" s="119"/>
      <c r="B5" s="119">
        <v>4736501001</v>
      </c>
      <c r="C5" s="119" t="s">
        <v>333</v>
      </c>
      <c r="D5" s="119">
        <v>94708</v>
      </c>
      <c r="E5" s="119" t="s">
        <v>375</v>
      </c>
      <c r="F5" s="119" t="s">
        <v>94</v>
      </c>
      <c r="G5" s="119">
        <v>57954</v>
      </c>
      <c r="H5" s="119" t="s">
        <v>376</v>
      </c>
      <c r="I5" s="119"/>
      <c r="J5" s="119"/>
      <c r="K5" s="119"/>
      <c r="L5" s="120">
        <v>0.57291666666666663</v>
      </c>
      <c r="M5" s="119">
        <v>42</v>
      </c>
      <c r="N5" s="119">
        <v>18</v>
      </c>
      <c r="O5" s="119">
        <v>35</v>
      </c>
      <c r="P5" s="119">
        <v>35</v>
      </c>
      <c r="Q5" s="119" t="s">
        <v>377</v>
      </c>
      <c r="R5" s="120">
        <v>0.63194444444444442</v>
      </c>
      <c r="S5" s="119"/>
      <c r="T5" s="119"/>
      <c r="U5" s="121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</row>
    <row r="6" spans="1:76" s="46" customFormat="1" x14ac:dyDescent="0.25">
      <c r="B6" s="46">
        <v>4736501002</v>
      </c>
      <c r="C6" s="46" t="s">
        <v>333</v>
      </c>
      <c r="D6" s="46">
        <v>94708</v>
      </c>
      <c r="E6" s="46" t="s">
        <v>375</v>
      </c>
      <c r="F6" s="46" t="s">
        <v>94</v>
      </c>
      <c r="G6" s="46">
        <v>57955</v>
      </c>
      <c r="H6" s="46" t="s">
        <v>378</v>
      </c>
      <c r="L6" s="48">
        <v>0.58333333333333337</v>
      </c>
      <c r="M6" s="46">
        <v>50</v>
      </c>
      <c r="N6" s="46">
        <v>50</v>
      </c>
      <c r="O6" s="46">
        <v>38</v>
      </c>
      <c r="P6" s="46">
        <v>38</v>
      </c>
      <c r="Q6" s="46" t="s">
        <v>379</v>
      </c>
      <c r="R6" s="48">
        <v>0.65972222222222221</v>
      </c>
    </row>
    <row r="7" spans="1:76" s="49" customFormat="1" x14ac:dyDescent="0.25">
      <c r="A7" s="122"/>
      <c r="B7" s="122">
        <v>4710901001</v>
      </c>
      <c r="C7" s="122" t="s">
        <v>333</v>
      </c>
      <c r="D7" s="122">
        <v>93528</v>
      </c>
      <c r="E7" s="122" t="s">
        <v>210</v>
      </c>
      <c r="F7" s="122" t="s">
        <v>110</v>
      </c>
      <c r="G7" s="122">
        <v>57313</v>
      </c>
      <c r="H7" s="122" t="s">
        <v>235</v>
      </c>
      <c r="I7" s="122" t="s">
        <v>120</v>
      </c>
      <c r="J7" s="122"/>
      <c r="K7" s="122"/>
      <c r="L7" s="122"/>
      <c r="M7" s="122"/>
      <c r="N7" s="122"/>
      <c r="O7" s="122"/>
      <c r="P7" s="122"/>
      <c r="Q7" s="122" t="s">
        <v>380</v>
      </c>
      <c r="R7" s="122"/>
      <c r="S7" s="122"/>
      <c r="T7" s="122"/>
      <c r="U7" s="123"/>
      <c r="V7" s="122"/>
      <c r="W7" s="122" t="s">
        <v>381</v>
      </c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</row>
    <row r="8" spans="1:76" s="49" customFormat="1" x14ac:dyDescent="0.25">
      <c r="A8" s="46"/>
      <c r="B8" s="46">
        <v>4710901004</v>
      </c>
      <c r="C8" s="46" t="s">
        <v>333</v>
      </c>
      <c r="D8" s="46">
        <v>93528</v>
      </c>
      <c r="E8" s="46" t="s">
        <v>210</v>
      </c>
      <c r="F8" s="46" t="s">
        <v>110</v>
      </c>
      <c r="G8" s="46">
        <v>57325</v>
      </c>
      <c r="H8" s="46" t="s">
        <v>211</v>
      </c>
      <c r="I8" s="46" t="s">
        <v>120</v>
      </c>
      <c r="J8" s="46"/>
      <c r="K8" s="46"/>
      <c r="L8" s="46"/>
      <c r="M8" s="46"/>
      <c r="N8" s="46"/>
      <c r="O8" s="46"/>
      <c r="P8" s="46"/>
      <c r="Q8" s="46" t="s">
        <v>382</v>
      </c>
      <c r="R8" s="46"/>
      <c r="S8" s="46"/>
      <c r="T8" s="46"/>
      <c r="U8" s="64"/>
      <c r="V8" s="46"/>
      <c r="W8" s="46" t="s">
        <v>383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6" s="49" customFormat="1" x14ac:dyDescent="0.25">
      <c r="A9" s="46"/>
      <c r="B9" s="46">
        <v>4711301001</v>
      </c>
      <c r="C9" s="46" t="s">
        <v>333</v>
      </c>
      <c r="D9" s="46">
        <v>93530</v>
      </c>
      <c r="E9" s="46" t="s">
        <v>210</v>
      </c>
      <c r="F9" s="46" t="s">
        <v>110</v>
      </c>
      <c r="G9" s="46">
        <v>57325</v>
      </c>
      <c r="H9" s="46" t="s">
        <v>211</v>
      </c>
      <c r="I9" s="46" t="s">
        <v>120</v>
      </c>
      <c r="J9" s="46"/>
      <c r="K9" s="46"/>
      <c r="L9" s="46"/>
      <c r="M9" s="46"/>
      <c r="N9" s="46"/>
      <c r="O9" s="46"/>
      <c r="P9" s="46"/>
      <c r="Q9" s="46" t="s">
        <v>384</v>
      </c>
      <c r="R9" s="46"/>
      <c r="S9" s="46"/>
      <c r="T9" s="46"/>
      <c r="U9" s="64"/>
      <c r="V9" s="46"/>
      <c r="W9" s="46" t="s">
        <v>385</v>
      </c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 s="49" customFormat="1" x14ac:dyDescent="0.25">
      <c r="A10" s="46"/>
      <c r="B10" s="46">
        <v>4711301003</v>
      </c>
      <c r="C10" s="46" t="s">
        <v>333</v>
      </c>
      <c r="D10" s="46">
        <v>93530</v>
      </c>
      <c r="E10" s="46" t="s">
        <v>210</v>
      </c>
      <c r="F10" s="46" t="s">
        <v>110</v>
      </c>
      <c r="G10" s="46">
        <v>57313</v>
      </c>
      <c r="H10" s="46" t="s">
        <v>235</v>
      </c>
      <c r="I10" s="46" t="s">
        <v>120</v>
      </c>
      <c r="J10" s="46"/>
      <c r="K10" s="46"/>
      <c r="L10" s="46"/>
      <c r="M10" s="46"/>
      <c r="N10" s="46"/>
      <c r="O10" s="46"/>
      <c r="P10" s="46"/>
      <c r="Q10" s="46" t="s">
        <v>386</v>
      </c>
      <c r="R10" s="46"/>
      <c r="S10" s="46"/>
      <c r="T10" s="46"/>
      <c r="U10" s="64"/>
      <c r="V10" s="46"/>
      <c r="W10" s="46" t="s">
        <v>387</v>
      </c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/>
      <c r="B11" s="46">
        <v>4711901001</v>
      </c>
      <c r="C11" s="46" t="s">
        <v>333</v>
      </c>
      <c r="D11" s="46">
        <v>93533</v>
      </c>
      <c r="E11" s="46" t="s">
        <v>210</v>
      </c>
      <c r="F11" s="46" t="s">
        <v>110</v>
      </c>
      <c r="G11" s="46">
        <v>57312</v>
      </c>
      <c r="H11" s="46" t="s">
        <v>264</v>
      </c>
      <c r="I11" s="46" t="s">
        <v>120</v>
      </c>
      <c r="J11" s="46"/>
      <c r="K11" s="46"/>
      <c r="L11" s="46"/>
      <c r="M11" s="46"/>
      <c r="N11" s="46"/>
      <c r="O11" s="46"/>
      <c r="P11" s="46"/>
      <c r="Q11" s="46" t="s">
        <v>388</v>
      </c>
      <c r="R11" s="46"/>
      <c r="S11" s="46"/>
      <c r="T11" s="46"/>
      <c r="U11" s="64"/>
      <c r="V11" s="46"/>
      <c r="W11" s="46" t="s">
        <v>389</v>
      </c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s="49" customFormat="1" x14ac:dyDescent="0.25">
      <c r="A12" s="46"/>
      <c r="B12" s="46">
        <v>4731001002</v>
      </c>
      <c r="C12" s="46"/>
      <c r="D12" s="46">
        <v>94113</v>
      </c>
      <c r="E12" s="46" t="s">
        <v>390</v>
      </c>
      <c r="F12" s="46">
        <v>1</v>
      </c>
      <c r="G12" s="46">
        <v>54499</v>
      </c>
      <c r="H12" s="46" t="s">
        <v>391</v>
      </c>
      <c r="I12" s="46"/>
      <c r="J12" s="46"/>
      <c r="K12" s="46"/>
      <c r="L12" s="46"/>
      <c r="M12" s="46"/>
      <c r="N12" s="46"/>
      <c r="O12" s="46"/>
      <c r="P12" s="46"/>
      <c r="Q12" s="46" t="s">
        <v>392</v>
      </c>
      <c r="R12" s="46"/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4731001001</v>
      </c>
      <c r="C13" s="46"/>
      <c r="D13" s="46">
        <v>94113</v>
      </c>
      <c r="E13" s="46" t="s">
        <v>390</v>
      </c>
      <c r="F13" s="46">
        <v>1</v>
      </c>
      <c r="G13" s="46">
        <v>54498</v>
      </c>
      <c r="H13" s="46" t="s">
        <v>393</v>
      </c>
      <c r="I13" s="46"/>
      <c r="J13" s="46"/>
      <c r="K13" s="46"/>
      <c r="L13" s="46"/>
      <c r="M13" s="46"/>
      <c r="N13" s="46"/>
      <c r="O13" s="46"/>
      <c r="P13" s="46"/>
      <c r="Q13" s="46" t="s">
        <v>394</v>
      </c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/>
      <c r="B14" s="46">
        <v>4731001003</v>
      </c>
      <c r="C14" s="46"/>
      <c r="D14" s="46">
        <v>94113</v>
      </c>
      <c r="E14" s="46" t="s">
        <v>390</v>
      </c>
      <c r="F14" s="46">
        <v>1</v>
      </c>
      <c r="G14" s="46">
        <v>54507</v>
      </c>
      <c r="H14" s="46" t="s">
        <v>395</v>
      </c>
      <c r="I14" s="46"/>
      <c r="J14" s="46"/>
      <c r="K14" s="46"/>
      <c r="L14" s="46"/>
      <c r="M14" s="46"/>
      <c r="N14" s="46"/>
      <c r="O14" s="46"/>
      <c r="P14" s="46"/>
      <c r="Q14" s="46" t="s">
        <v>396</v>
      </c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4733401001</v>
      </c>
      <c r="C15" s="47">
        <v>46050</v>
      </c>
      <c r="D15" s="46">
        <v>91608</v>
      </c>
      <c r="E15" s="46" t="s">
        <v>397</v>
      </c>
      <c r="F15" s="46">
        <v>1</v>
      </c>
      <c r="G15" s="46">
        <v>54896</v>
      </c>
      <c r="H15" s="46" t="s">
        <v>398</v>
      </c>
      <c r="I15" s="46" t="s">
        <v>399</v>
      </c>
      <c r="J15" s="46">
        <v>11</v>
      </c>
      <c r="K15" s="46">
        <v>10103</v>
      </c>
      <c r="L15" s="48">
        <v>0.3923611111111111</v>
      </c>
      <c r="M15" s="46">
        <v>33</v>
      </c>
      <c r="N15" s="46">
        <v>33</v>
      </c>
      <c r="O15" s="46">
        <v>26</v>
      </c>
      <c r="P15" s="46">
        <v>48</v>
      </c>
      <c r="Q15" s="46"/>
      <c r="R15" s="48">
        <v>0.55555555555555558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4724801001</v>
      </c>
      <c r="C16" s="47">
        <v>46050</v>
      </c>
      <c r="D16" s="46">
        <v>92795</v>
      </c>
      <c r="E16" s="46" t="s">
        <v>397</v>
      </c>
      <c r="F16" s="46">
        <v>2</v>
      </c>
      <c r="G16" s="46">
        <v>54899</v>
      </c>
      <c r="H16" s="46" t="s">
        <v>400</v>
      </c>
      <c r="I16" s="46" t="s">
        <v>399</v>
      </c>
      <c r="J16" s="46">
        <v>23</v>
      </c>
      <c r="K16" s="46">
        <v>10103</v>
      </c>
      <c r="L16" s="46"/>
      <c r="M16" s="46">
        <v>25</v>
      </c>
      <c r="N16" s="46">
        <v>10</v>
      </c>
      <c r="O16" s="46">
        <v>35</v>
      </c>
      <c r="P16" s="46">
        <v>35</v>
      </c>
      <c r="Q16" s="46"/>
      <c r="R16" s="48">
        <v>0.58680555555555558</v>
      </c>
      <c r="S16" s="46">
        <v>50</v>
      </c>
      <c r="T16" s="46">
        <v>40</v>
      </c>
      <c r="U16" s="64">
        <v>10</v>
      </c>
      <c r="V16" s="46">
        <v>10</v>
      </c>
      <c r="W16" s="46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s="49" customFormat="1" x14ac:dyDescent="0.25">
      <c r="A17" s="46"/>
      <c r="B17" s="46">
        <v>4731501001</v>
      </c>
      <c r="C17" s="47">
        <v>46038</v>
      </c>
      <c r="D17" s="46">
        <v>94599</v>
      </c>
      <c r="E17" s="46" t="s">
        <v>401</v>
      </c>
      <c r="F17" s="46">
        <v>2</v>
      </c>
      <c r="G17" s="46">
        <v>57862</v>
      </c>
      <c r="H17" s="46" t="s">
        <v>402</v>
      </c>
      <c r="I17" s="46" t="s">
        <v>103</v>
      </c>
      <c r="J17" s="46">
        <v>6</v>
      </c>
      <c r="K17" s="46">
        <v>10101</v>
      </c>
      <c r="L17" s="48">
        <v>0.66666666666666663</v>
      </c>
      <c r="M17" s="46"/>
      <c r="N17" s="46"/>
      <c r="O17" s="46">
        <v>1</v>
      </c>
      <c r="P17" s="46">
        <v>2</v>
      </c>
      <c r="Q17" s="46" t="s">
        <v>403</v>
      </c>
      <c r="R17" s="48">
        <v>0.66666666666666663</v>
      </c>
      <c r="S17" s="46"/>
      <c r="T17" s="46"/>
      <c r="U17" s="64">
        <v>2</v>
      </c>
      <c r="V17" s="46">
        <v>3</v>
      </c>
      <c r="W17" s="46" t="s">
        <v>404</v>
      </c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4731501002</v>
      </c>
      <c r="C18" s="47">
        <v>46038</v>
      </c>
      <c r="D18" s="46">
        <v>94599</v>
      </c>
      <c r="E18" s="46" t="s">
        <v>401</v>
      </c>
      <c r="F18" s="46">
        <v>2</v>
      </c>
      <c r="G18" s="46">
        <v>57864</v>
      </c>
      <c r="H18" s="46" t="s">
        <v>405</v>
      </c>
      <c r="I18" s="46" t="s">
        <v>103</v>
      </c>
      <c r="J18" s="46">
        <v>7</v>
      </c>
      <c r="K18" s="46">
        <v>10101</v>
      </c>
      <c r="L18" s="48">
        <v>0.61805555555555558</v>
      </c>
      <c r="M18" s="46"/>
      <c r="N18" s="46"/>
      <c r="O18" s="46">
        <v>2</v>
      </c>
      <c r="P18" s="46">
        <v>4</v>
      </c>
      <c r="Q18" s="46" t="s">
        <v>406</v>
      </c>
      <c r="R18" s="48">
        <v>0.61805555555555558</v>
      </c>
      <c r="S18" s="46"/>
      <c r="T18" s="46"/>
      <c r="U18" s="64">
        <v>2</v>
      </c>
      <c r="V18" s="46">
        <v>2</v>
      </c>
      <c r="W18" s="46" t="s">
        <v>407</v>
      </c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4731501003</v>
      </c>
      <c r="C19" s="47">
        <v>46038</v>
      </c>
      <c r="D19" s="46">
        <v>94599</v>
      </c>
      <c r="E19" s="46" t="s">
        <v>401</v>
      </c>
      <c r="F19" s="46">
        <v>2</v>
      </c>
      <c r="G19" s="46">
        <v>57865</v>
      </c>
      <c r="H19" s="46" t="s">
        <v>408</v>
      </c>
      <c r="I19" s="46" t="s">
        <v>103</v>
      </c>
      <c r="J19" s="46">
        <v>8</v>
      </c>
      <c r="K19" s="46">
        <v>10101</v>
      </c>
      <c r="L19" s="48">
        <v>0.58194444444444449</v>
      </c>
      <c r="M19" s="46"/>
      <c r="N19" s="46"/>
      <c r="O19" s="46">
        <v>2</v>
      </c>
      <c r="P19" s="46">
        <v>2</v>
      </c>
      <c r="Q19" s="46" t="s">
        <v>409</v>
      </c>
      <c r="R19" s="48">
        <v>0.5625</v>
      </c>
      <c r="S19" s="46"/>
      <c r="T19" s="46"/>
      <c r="U19" s="64">
        <v>1</v>
      </c>
      <c r="V19" s="46">
        <v>3</v>
      </c>
      <c r="W19" s="46" t="s">
        <v>410</v>
      </c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s="49" customFormat="1" x14ac:dyDescent="0.25">
      <c r="A20" s="46"/>
      <c r="B20" s="46"/>
      <c r="C20" s="46"/>
      <c r="D20" s="46"/>
      <c r="E20" s="46" t="s">
        <v>411</v>
      </c>
      <c r="F20" s="46">
        <v>2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64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</row>
    <row r="21" spans="1:76" s="49" customFormat="1" x14ac:dyDescent="0.25">
      <c r="A21" s="46"/>
      <c r="B21" s="46">
        <v>4734901006</v>
      </c>
      <c r="C21" s="47">
        <v>46037</v>
      </c>
      <c r="D21" s="46">
        <v>94655</v>
      </c>
      <c r="E21" s="46" t="s">
        <v>412</v>
      </c>
      <c r="F21" s="46">
        <v>1</v>
      </c>
      <c r="G21" s="46">
        <v>57878</v>
      </c>
      <c r="H21" s="46" t="s">
        <v>413</v>
      </c>
      <c r="I21" s="46" t="s">
        <v>120</v>
      </c>
      <c r="J21" s="46">
        <v>1</v>
      </c>
      <c r="K21" s="46">
        <v>10102</v>
      </c>
      <c r="L21" s="48">
        <v>0.63888888888888884</v>
      </c>
      <c r="M21" s="46">
        <v>40</v>
      </c>
      <c r="N21" s="46">
        <v>47</v>
      </c>
      <c r="O21" s="46">
        <v>47</v>
      </c>
      <c r="P21" s="46">
        <v>47</v>
      </c>
      <c r="Q21" s="46" t="s">
        <v>414</v>
      </c>
      <c r="R21" s="48">
        <v>0.6791666666666667</v>
      </c>
      <c r="S21" s="46"/>
      <c r="T21" s="46"/>
      <c r="U21" s="64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</row>
    <row r="22" spans="1:76" s="49" customFormat="1" x14ac:dyDescent="0.25">
      <c r="A22" s="46"/>
      <c r="B22" s="46">
        <v>4733401003</v>
      </c>
      <c r="C22" s="47">
        <v>46050</v>
      </c>
      <c r="D22" s="46">
        <v>91608</v>
      </c>
      <c r="E22" s="46" t="s">
        <v>397</v>
      </c>
      <c r="F22" s="124">
        <v>1</v>
      </c>
      <c r="G22" s="46">
        <v>54898</v>
      </c>
      <c r="H22" s="46" t="s">
        <v>415</v>
      </c>
      <c r="I22" s="46" t="s">
        <v>399</v>
      </c>
      <c r="J22" s="46">
        <v>20</v>
      </c>
      <c r="K22" s="46">
        <v>10103</v>
      </c>
      <c r="L22" s="46"/>
      <c r="M22" s="46">
        <v>39</v>
      </c>
      <c r="N22" s="46">
        <v>14</v>
      </c>
      <c r="O22" s="46">
        <v>44</v>
      </c>
      <c r="P22" s="46">
        <v>44</v>
      </c>
      <c r="Q22" s="46"/>
      <c r="R22" s="48">
        <v>0.71875</v>
      </c>
      <c r="S22" s="46"/>
      <c r="T22" s="46"/>
      <c r="U22" s="64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</row>
    <row r="23" spans="1:76" s="49" customFormat="1" x14ac:dyDescent="0.25">
      <c r="A23" s="46"/>
      <c r="B23" s="46">
        <v>4724701001</v>
      </c>
      <c r="C23" s="47">
        <v>46050</v>
      </c>
      <c r="D23" s="46">
        <v>92794</v>
      </c>
      <c r="E23" s="46" t="s">
        <v>397</v>
      </c>
      <c r="F23" s="46">
        <v>2</v>
      </c>
      <c r="G23" s="46">
        <v>54899</v>
      </c>
      <c r="H23" s="46" t="s">
        <v>400</v>
      </c>
      <c r="I23" s="46" t="s">
        <v>399</v>
      </c>
      <c r="J23" s="46">
        <v>23</v>
      </c>
      <c r="K23" s="46">
        <v>10103</v>
      </c>
      <c r="L23" s="46"/>
      <c r="M23" s="46">
        <v>24</v>
      </c>
      <c r="N23" s="46">
        <v>4</v>
      </c>
      <c r="O23" s="46">
        <v>50</v>
      </c>
      <c r="P23" s="46">
        <v>50</v>
      </c>
      <c r="Q23" s="46"/>
      <c r="R23" s="48">
        <v>0.73472222222222228</v>
      </c>
      <c r="S23" s="46">
        <v>52</v>
      </c>
      <c r="T23" s="46">
        <v>40</v>
      </c>
      <c r="U23" s="64">
        <v>47</v>
      </c>
      <c r="V23" s="46">
        <v>47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</row>
    <row r="24" spans="1:76" x14ac:dyDescent="0.25">
      <c r="U24" s="21"/>
    </row>
    <row r="25" spans="1:76" x14ac:dyDescent="0.25">
      <c r="U25" s="21"/>
    </row>
    <row r="26" spans="1:76" s="63" customForma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2"/>
      <c r="U26" s="68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</row>
    <row r="27" spans="1:76" s="61" customForma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60"/>
      <c r="U27" s="69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</row>
  </sheetData>
  <mergeCells count="2">
    <mergeCell ref="A1:D1"/>
    <mergeCell ref="F1:G1"/>
  </mergeCells>
  <conditionalFormatting sqref="I1:I1048576">
    <cfRule type="containsText" dxfId="51" priority="1" operator="containsText" text="ALFA">
      <formula>NOT(ISERROR(SEARCH("ALFA",I1)))</formula>
    </cfRule>
    <cfRule type="containsText" dxfId="50" priority="2" operator="containsText" text="NEW BIGTRANS">
      <formula>NOT(ISERROR(SEARCH("NEW BIGTRANS",I1)))</formula>
    </cfRule>
    <cfRule type="beginsWith" dxfId="49" priority="3" operator="beginsWith" text="EXPRESSO SAO MIGUEL">
      <formula>LEFT(I1,LEN("EXPRESSO SAO MIGUEL"))="EXPRESSO SAO MIGUEL"</formula>
    </cfRule>
    <cfRule type="containsText" dxfId="48" priority="4" operator="containsText" text="RODONAVES">
      <formula>NOT(ISERROR(SEARCH("RODONAVES",I1)))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1E57-1D51-4620-AA04-165B3D6EADAA}">
  <sheetPr>
    <tabColor rgb="FFFFFF00"/>
  </sheetPr>
  <dimension ref="A1:U64"/>
  <sheetViews>
    <sheetView showGridLines="0" workbookViewId="0">
      <selection activeCell="H32" sqref="H32"/>
    </sheetView>
  </sheetViews>
  <sheetFormatPr defaultRowHeight="15" x14ac:dyDescent="0.25"/>
  <sheetData>
    <row r="1" spans="1:21" x14ac:dyDescent="0.25">
      <c r="A1" s="195" t="s">
        <v>416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/>
    </row>
    <row r="2" spans="1:21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</row>
    <row r="3" spans="1:2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200"/>
    </row>
    <row r="4" spans="1:21" x14ac:dyDescent="0.2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200"/>
    </row>
    <row r="5" spans="1:2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20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20</v>
      </c>
      <c r="F18" s="210"/>
      <c r="G18" s="211">
        <f>E18-(E22/2)</f>
        <v>16.25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20</v>
      </c>
      <c r="F19" s="192"/>
      <c r="G19" s="194">
        <f>E19-(E22/2)</f>
        <v>16.25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20</v>
      </c>
      <c r="F20" s="192"/>
      <c r="G20" s="194">
        <f>E20-(E22/2)</f>
        <v>16.25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20</v>
      </c>
      <c r="F21" s="192"/>
      <c r="G21" s="194">
        <f>E21-(E22/2)</f>
        <v>16.25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7.5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20</v>
      </c>
      <c r="C29" s="178"/>
      <c r="D29" s="34">
        <v>0.2</v>
      </c>
      <c r="E29" s="35">
        <f>B29+D29</f>
        <v>20.2</v>
      </c>
      <c r="F29" s="177">
        <f>$E$19</f>
        <v>20</v>
      </c>
      <c r="G29" s="178"/>
      <c r="H29" s="34">
        <v>0.25</v>
      </c>
      <c r="I29" s="175">
        <f>F29+H29</f>
        <v>20.25</v>
      </c>
      <c r="J29" s="176"/>
      <c r="M29" s="179">
        <f>$E$18</f>
        <v>20</v>
      </c>
      <c r="N29" s="180"/>
      <c r="O29" s="36"/>
      <c r="P29" s="37">
        <f>M29+O29</f>
        <v>20</v>
      </c>
      <c r="Q29" s="179">
        <f>$E$19</f>
        <v>20</v>
      </c>
      <c r="R29" s="180"/>
      <c r="S29" s="36"/>
      <c r="T29" s="181">
        <f>Q29+S29</f>
        <v>20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0.05</v>
      </c>
      <c r="E31" s="40">
        <f t="shared" ref="E31:E38" si="0">$E$20+D31</f>
        <v>20.05</v>
      </c>
      <c r="F31" s="167" t="s">
        <v>16</v>
      </c>
      <c r="G31" s="168"/>
      <c r="H31" s="34">
        <v>0.05</v>
      </c>
      <c r="I31" s="175">
        <f t="shared" ref="I31:I38" si="1">$E$21+H31</f>
        <v>20.05</v>
      </c>
      <c r="J31" s="176"/>
      <c r="M31" s="166" t="s">
        <v>17</v>
      </c>
      <c r="N31" s="166"/>
      <c r="O31" s="39"/>
      <c r="P31" s="40">
        <f t="shared" ref="P31:P38" si="2">$E$20+O31</f>
        <v>20</v>
      </c>
      <c r="Q31" s="167" t="s">
        <v>17</v>
      </c>
      <c r="R31" s="168"/>
      <c r="S31" s="34"/>
      <c r="T31" s="175">
        <f t="shared" ref="T31:T38" si="3">$E$21+S31</f>
        <v>20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20</v>
      </c>
      <c r="F32" s="167" t="s">
        <v>18</v>
      </c>
      <c r="G32" s="168"/>
      <c r="H32" s="38"/>
      <c r="I32" s="175">
        <f t="shared" si="1"/>
        <v>20</v>
      </c>
      <c r="J32" s="176"/>
      <c r="M32" s="166" t="s">
        <v>18</v>
      </c>
      <c r="N32" s="166"/>
      <c r="O32" s="41"/>
      <c r="P32" s="40">
        <f t="shared" si="2"/>
        <v>20</v>
      </c>
      <c r="Q32" s="167" t="s">
        <v>18</v>
      </c>
      <c r="R32" s="168"/>
      <c r="S32" s="38"/>
      <c r="T32" s="175">
        <f t="shared" si="3"/>
        <v>20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20</v>
      </c>
      <c r="F33" s="167" t="s">
        <v>18</v>
      </c>
      <c r="G33" s="168"/>
      <c r="H33" s="38"/>
      <c r="I33" s="175">
        <f t="shared" si="1"/>
        <v>20</v>
      </c>
      <c r="J33" s="176"/>
      <c r="M33" s="166" t="s">
        <v>18</v>
      </c>
      <c r="N33" s="166"/>
      <c r="O33" s="41"/>
      <c r="P33" s="40">
        <f t="shared" si="2"/>
        <v>20</v>
      </c>
      <c r="Q33" s="167" t="s">
        <v>18</v>
      </c>
      <c r="R33" s="168"/>
      <c r="S33" s="38"/>
      <c r="T33" s="175">
        <f t="shared" si="3"/>
        <v>20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20</v>
      </c>
      <c r="F34" s="167" t="s">
        <v>18</v>
      </c>
      <c r="G34" s="168"/>
      <c r="H34" s="38"/>
      <c r="I34" s="175">
        <f t="shared" si="1"/>
        <v>20</v>
      </c>
      <c r="J34" s="176"/>
      <c r="M34" s="166" t="s">
        <v>19</v>
      </c>
      <c r="N34" s="166"/>
      <c r="O34" s="41"/>
      <c r="P34" s="40">
        <f t="shared" si="2"/>
        <v>20</v>
      </c>
      <c r="Q34" s="167" t="s">
        <v>18</v>
      </c>
      <c r="R34" s="168"/>
      <c r="S34" s="38"/>
      <c r="T34" s="175">
        <f t="shared" si="3"/>
        <v>20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20</v>
      </c>
      <c r="F35" s="167" t="s">
        <v>18</v>
      </c>
      <c r="G35" s="168"/>
      <c r="H35" s="38"/>
      <c r="I35" s="175">
        <f t="shared" si="1"/>
        <v>20</v>
      </c>
      <c r="J35" s="176"/>
      <c r="M35" s="166" t="s">
        <v>18</v>
      </c>
      <c r="N35" s="166"/>
      <c r="O35" s="41"/>
      <c r="P35" s="40">
        <f t="shared" si="2"/>
        <v>20</v>
      </c>
      <c r="Q35" s="167" t="s">
        <v>18</v>
      </c>
      <c r="R35" s="168"/>
      <c r="S35" s="38"/>
      <c r="T35" s="175">
        <f t="shared" si="3"/>
        <v>20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20</v>
      </c>
      <c r="F36" s="167" t="s">
        <v>18</v>
      </c>
      <c r="G36" s="168"/>
      <c r="H36" s="38"/>
      <c r="I36" s="175">
        <f t="shared" si="1"/>
        <v>20</v>
      </c>
      <c r="J36" s="176"/>
      <c r="M36" s="166" t="s">
        <v>18</v>
      </c>
      <c r="N36" s="166"/>
      <c r="O36" s="41"/>
      <c r="P36" s="40">
        <f t="shared" si="2"/>
        <v>20</v>
      </c>
      <c r="Q36" s="167" t="s">
        <v>18</v>
      </c>
      <c r="R36" s="168"/>
      <c r="S36" s="38"/>
      <c r="T36" s="175">
        <f t="shared" si="3"/>
        <v>20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20</v>
      </c>
      <c r="F37" s="167" t="s">
        <v>18</v>
      </c>
      <c r="G37" s="168"/>
      <c r="H37" s="38"/>
      <c r="I37" s="175">
        <f t="shared" si="1"/>
        <v>20</v>
      </c>
      <c r="J37" s="176"/>
      <c r="M37" s="166" t="s">
        <v>18</v>
      </c>
      <c r="N37" s="166"/>
      <c r="O37" s="41"/>
      <c r="P37" s="40">
        <f t="shared" si="2"/>
        <v>20</v>
      </c>
      <c r="Q37" s="167" t="s">
        <v>18</v>
      </c>
      <c r="R37" s="168"/>
      <c r="S37" s="38"/>
      <c r="T37" s="175">
        <f t="shared" si="3"/>
        <v>20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20</v>
      </c>
      <c r="F38" s="167" t="s">
        <v>18</v>
      </c>
      <c r="G38" s="168"/>
      <c r="H38" s="38"/>
      <c r="I38" s="175">
        <f t="shared" si="1"/>
        <v>20</v>
      </c>
      <c r="J38" s="176"/>
      <c r="M38" s="166" t="s">
        <v>18</v>
      </c>
      <c r="N38" s="166"/>
      <c r="O38" s="41"/>
      <c r="P38" s="40">
        <f t="shared" si="2"/>
        <v>20</v>
      </c>
      <c r="Q38" s="167" t="s">
        <v>18</v>
      </c>
      <c r="R38" s="168"/>
      <c r="S38" s="38"/>
      <c r="T38" s="175">
        <f t="shared" si="3"/>
        <v>20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20</v>
      </c>
      <c r="C42" s="178"/>
      <c r="D42" s="34"/>
      <c r="E42" s="35">
        <f>B42+D42</f>
        <v>20</v>
      </c>
      <c r="F42" s="177">
        <f>$E$19</f>
        <v>20</v>
      </c>
      <c r="G42" s="178"/>
      <c r="H42" s="34"/>
      <c r="I42" s="175">
        <f>F42+H42</f>
        <v>20</v>
      </c>
      <c r="J42" s="176"/>
      <c r="M42" s="179">
        <f>$E$18</f>
        <v>20</v>
      </c>
      <c r="N42" s="180"/>
      <c r="O42" s="36"/>
      <c r="P42" s="37">
        <f>M42+O42</f>
        <v>20</v>
      </c>
      <c r="Q42" s="179">
        <f>$E$19</f>
        <v>20</v>
      </c>
      <c r="R42" s="180"/>
      <c r="S42" s="36"/>
      <c r="T42" s="181">
        <f>Q42+S42</f>
        <v>20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20</v>
      </c>
      <c r="F44" s="167" t="s">
        <v>16</v>
      </c>
      <c r="G44" s="168"/>
      <c r="H44" s="34"/>
      <c r="I44" s="175">
        <f t="shared" ref="I44:I51" si="5">$E$21+H44</f>
        <v>20</v>
      </c>
      <c r="J44" s="176"/>
      <c r="M44" s="166" t="s">
        <v>17</v>
      </c>
      <c r="N44" s="166"/>
      <c r="O44" s="39"/>
      <c r="P44" s="40">
        <f t="shared" ref="P44:P51" si="6">$E$20+O44</f>
        <v>20</v>
      </c>
      <c r="Q44" s="167" t="s">
        <v>17</v>
      </c>
      <c r="R44" s="168"/>
      <c r="S44" s="34"/>
      <c r="T44" s="175">
        <f t="shared" ref="T44:T51" si="7">$E$21+S44</f>
        <v>20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20</v>
      </c>
      <c r="F45" s="167" t="s">
        <v>18</v>
      </c>
      <c r="G45" s="168"/>
      <c r="H45" s="38"/>
      <c r="I45" s="175">
        <f t="shared" si="5"/>
        <v>20</v>
      </c>
      <c r="J45" s="176"/>
      <c r="M45" s="166" t="s">
        <v>18</v>
      </c>
      <c r="N45" s="166"/>
      <c r="O45" s="41"/>
      <c r="P45" s="40">
        <f t="shared" si="6"/>
        <v>20</v>
      </c>
      <c r="Q45" s="167" t="s">
        <v>18</v>
      </c>
      <c r="R45" s="168"/>
      <c r="S45" s="38"/>
      <c r="T45" s="175">
        <f t="shared" si="7"/>
        <v>20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20</v>
      </c>
      <c r="F46" s="167" t="s">
        <v>18</v>
      </c>
      <c r="G46" s="168"/>
      <c r="H46" s="38"/>
      <c r="I46" s="175">
        <f t="shared" si="5"/>
        <v>20</v>
      </c>
      <c r="J46" s="176"/>
      <c r="M46" s="166" t="s">
        <v>18</v>
      </c>
      <c r="N46" s="166"/>
      <c r="O46" s="41"/>
      <c r="P46" s="40">
        <f t="shared" si="6"/>
        <v>20</v>
      </c>
      <c r="Q46" s="167" t="s">
        <v>18</v>
      </c>
      <c r="R46" s="168"/>
      <c r="S46" s="38"/>
      <c r="T46" s="175">
        <f t="shared" si="7"/>
        <v>20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20</v>
      </c>
      <c r="F47" s="167" t="s">
        <v>18</v>
      </c>
      <c r="G47" s="168"/>
      <c r="H47" s="38"/>
      <c r="I47" s="175">
        <f t="shared" si="5"/>
        <v>20</v>
      </c>
      <c r="J47" s="176"/>
      <c r="M47" s="166" t="s">
        <v>19</v>
      </c>
      <c r="N47" s="166"/>
      <c r="O47" s="41"/>
      <c r="P47" s="40">
        <f t="shared" si="6"/>
        <v>20</v>
      </c>
      <c r="Q47" s="167" t="s">
        <v>18</v>
      </c>
      <c r="R47" s="168"/>
      <c r="S47" s="38"/>
      <c r="T47" s="175">
        <f t="shared" si="7"/>
        <v>20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20</v>
      </c>
      <c r="F48" s="167" t="s">
        <v>18</v>
      </c>
      <c r="G48" s="168"/>
      <c r="H48" s="38"/>
      <c r="I48" s="175">
        <f t="shared" si="5"/>
        <v>20</v>
      </c>
      <c r="J48" s="176"/>
      <c r="M48" s="166" t="s">
        <v>18</v>
      </c>
      <c r="N48" s="166"/>
      <c r="O48" s="41"/>
      <c r="P48" s="40">
        <f t="shared" si="6"/>
        <v>20</v>
      </c>
      <c r="Q48" s="167" t="s">
        <v>18</v>
      </c>
      <c r="R48" s="168"/>
      <c r="S48" s="38"/>
      <c r="T48" s="175">
        <f t="shared" si="7"/>
        <v>20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20</v>
      </c>
      <c r="F49" s="167" t="s">
        <v>18</v>
      </c>
      <c r="G49" s="168"/>
      <c r="H49" s="38"/>
      <c r="I49" s="175">
        <f t="shared" si="5"/>
        <v>20</v>
      </c>
      <c r="J49" s="176"/>
      <c r="M49" s="166" t="s">
        <v>18</v>
      </c>
      <c r="N49" s="166"/>
      <c r="O49" s="41"/>
      <c r="P49" s="40">
        <f t="shared" si="6"/>
        <v>20</v>
      </c>
      <c r="Q49" s="167" t="s">
        <v>18</v>
      </c>
      <c r="R49" s="168"/>
      <c r="S49" s="38"/>
      <c r="T49" s="175">
        <f t="shared" si="7"/>
        <v>20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20</v>
      </c>
      <c r="F50" s="167" t="s">
        <v>18</v>
      </c>
      <c r="G50" s="168"/>
      <c r="H50" s="38"/>
      <c r="I50" s="175">
        <f t="shared" si="5"/>
        <v>20</v>
      </c>
      <c r="J50" s="176"/>
      <c r="M50" s="166" t="s">
        <v>18</v>
      </c>
      <c r="N50" s="166"/>
      <c r="O50" s="41"/>
      <c r="P50" s="40">
        <f t="shared" si="6"/>
        <v>20</v>
      </c>
      <c r="Q50" s="167" t="s">
        <v>18</v>
      </c>
      <c r="R50" s="168"/>
      <c r="S50" s="38"/>
      <c r="T50" s="175">
        <f t="shared" si="7"/>
        <v>20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20</v>
      </c>
      <c r="F51" s="167" t="s">
        <v>18</v>
      </c>
      <c r="G51" s="168"/>
      <c r="H51" s="38"/>
      <c r="I51" s="175">
        <f t="shared" si="5"/>
        <v>20</v>
      </c>
      <c r="J51" s="176"/>
      <c r="M51" s="166" t="s">
        <v>18</v>
      </c>
      <c r="N51" s="166"/>
      <c r="O51" s="41"/>
      <c r="P51" s="40">
        <f t="shared" si="6"/>
        <v>20</v>
      </c>
      <c r="Q51" s="167" t="s">
        <v>18</v>
      </c>
      <c r="R51" s="168"/>
      <c r="S51" s="38"/>
      <c r="T51" s="175">
        <f t="shared" si="7"/>
        <v>20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20</v>
      </c>
      <c r="C55" s="178"/>
      <c r="D55" s="34"/>
      <c r="E55" s="35">
        <f>B55+D55</f>
        <v>20</v>
      </c>
      <c r="F55" s="177">
        <f>$E$19</f>
        <v>20</v>
      </c>
      <c r="G55" s="178"/>
      <c r="H55" s="34"/>
      <c r="I55" s="175">
        <f>F55+H55</f>
        <v>20</v>
      </c>
      <c r="J55" s="176"/>
      <c r="M55" s="179">
        <f>$E$18</f>
        <v>20</v>
      </c>
      <c r="N55" s="180"/>
      <c r="O55" s="36"/>
      <c r="P55" s="37">
        <f>M55+O55</f>
        <v>20</v>
      </c>
      <c r="Q55" s="179">
        <f>$E$19</f>
        <v>20</v>
      </c>
      <c r="R55" s="180"/>
      <c r="S55" s="36"/>
      <c r="T55" s="181">
        <f>Q55+S55</f>
        <v>20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20</v>
      </c>
      <c r="F57" s="167" t="s">
        <v>16</v>
      </c>
      <c r="G57" s="168"/>
      <c r="H57" s="34"/>
      <c r="I57" s="175">
        <f t="shared" ref="I57:I64" si="9">$E$21+H57</f>
        <v>20</v>
      </c>
      <c r="J57" s="176"/>
      <c r="M57" s="166" t="s">
        <v>17</v>
      </c>
      <c r="N57" s="166"/>
      <c r="O57" s="39"/>
      <c r="P57" s="40">
        <f t="shared" ref="P57:P64" si="10">$E$20+O57</f>
        <v>20</v>
      </c>
      <c r="Q57" s="167" t="s">
        <v>17</v>
      </c>
      <c r="R57" s="168"/>
      <c r="S57" s="34"/>
      <c r="T57" s="175">
        <f t="shared" ref="T57:T64" si="11">$E$21+S57</f>
        <v>20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20</v>
      </c>
      <c r="F58" s="167" t="s">
        <v>18</v>
      </c>
      <c r="G58" s="168"/>
      <c r="H58" s="38"/>
      <c r="I58" s="175">
        <f t="shared" si="9"/>
        <v>20</v>
      </c>
      <c r="J58" s="176"/>
      <c r="M58" s="166" t="s">
        <v>18</v>
      </c>
      <c r="N58" s="166"/>
      <c r="O58" s="41"/>
      <c r="P58" s="40">
        <f t="shared" si="10"/>
        <v>20</v>
      </c>
      <c r="Q58" s="167" t="s">
        <v>18</v>
      </c>
      <c r="R58" s="168"/>
      <c r="S58" s="38"/>
      <c r="T58" s="175">
        <f t="shared" si="11"/>
        <v>20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20</v>
      </c>
      <c r="F59" s="167" t="s">
        <v>18</v>
      </c>
      <c r="G59" s="168"/>
      <c r="H59" s="38"/>
      <c r="I59" s="175">
        <f t="shared" si="9"/>
        <v>20</v>
      </c>
      <c r="J59" s="176"/>
      <c r="M59" s="166" t="s">
        <v>18</v>
      </c>
      <c r="N59" s="166"/>
      <c r="O59" s="41"/>
      <c r="P59" s="40">
        <f t="shared" si="10"/>
        <v>20</v>
      </c>
      <c r="Q59" s="167" t="s">
        <v>18</v>
      </c>
      <c r="R59" s="168"/>
      <c r="S59" s="38"/>
      <c r="T59" s="175">
        <f t="shared" si="11"/>
        <v>20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20</v>
      </c>
      <c r="F60" s="167" t="s">
        <v>18</v>
      </c>
      <c r="G60" s="168"/>
      <c r="H60" s="38"/>
      <c r="I60" s="175">
        <f t="shared" si="9"/>
        <v>20</v>
      </c>
      <c r="J60" s="176"/>
      <c r="M60" s="166" t="s">
        <v>19</v>
      </c>
      <c r="N60" s="166"/>
      <c r="O60" s="41"/>
      <c r="P60" s="40">
        <f t="shared" si="10"/>
        <v>20</v>
      </c>
      <c r="Q60" s="167" t="s">
        <v>18</v>
      </c>
      <c r="R60" s="168"/>
      <c r="S60" s="38"/>
      <c r="T60" s="175">
        <f t="shared" si="11"/>
        <v>20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20</v>
      </c>
      <c r="F61" s="167" t="s">
        <v>18</v>
      </c>
      <c r="G61" s="168"/>
      <c r="H61" s="38"/>
      <c r="I61" s="175">
        <f t="shared" si="9"/>
        <v>20</v>
      </c>
      <c r="J61" s="176"/>
      <c r="M61" s="166" t="s">
        <v>18</v>
      </c>
      <c r="N61" s="166"/>
      <c r="O61" s="41"/>
      <c r="P61" s="40">
        <f t="shared" si="10"/>
        <v>20</v>
      </c>
      <c r="Q61" s="167" t="s">
        <v>18</v>
      </c>
      <c r="R61" s="168"/>
      <c r="S61" s="38"/>
      <c r="T61" s="175">
        <f t="shared" si="11"/>
        <v>20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20</v>
      </c>
      <c r="F62" s="167" t="s">
        <v>18</v>
      </c>
      <c r="G62" s="168"/>
      <c r="H62" s="38"/>
      <c r="I62" s="175">
        <f t="shared" si="9"/>
        <v>20</v>
      </c>
      <c r="J62" s="176"/>
      <c r="M62" s="166" t="s">
        <v>18</v>
      </c>
      <c r="N62" s="166"/>
      <c r="O62" s="41"/>
      <c r="P62" s="40">
        <f t="shared" si="10"/>
        <v>20</v>
      </c>
      <c r="Q62" s="167" t="s">
        <v>18</v>
      </c>
      <c r="R62" s="168"/>
      <c r="S62" s="38"/>
      <c r="T62" s="175">
        <f t="shared" si="11"/>
        <v>20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20</v>
      </c>
      <c r="F63" s="167" t="s">
        <v>18</v>
      </c>
      <c r="G63" s="168"/>
      <c r="H63" s="38"/>
      <c r="I63" s="175">
        <f t="shared" si="9"/>
        <v>20</v>
      </c>
      <c r="J63" s="176"/>
      <c r="M63" s="166" t="s">
        <v>18</v>
      </c>
      <c r="N63" s="166"/>
      <c r="O63" s="41"/>
      <c r="P63" s="40">
        <f t="shared" si="10"/>
        <v>20</v>
      </c>
      <c r="Q63" s="167" t="s">
        <v>18</v>
      </c>
      <c r="R63" s="168"/>
      <c r="S63" s="38"/>
      <c r="T63" s="175">
        <f t="shared" si="11"/>
        <v>20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20</v>
      </c>
      <c r="F64" s="167" t="s">
        <v>18</v>
      </c>
      <c r="G64" s="168"/>
      <c r="H64" s="38"/>
      <c r="I64" s="175">
        <f t="shared" si="9"/>
        <v>20</v>
      </c>
      <c r="J64" s="176"/>
      <c r="M64" s="166" t="s">
        <v>18</v>
      </c>
      <c r="N64" s="166"/>
      <c r="O64" s="41"/>
      <c r="P64" s="40">
        <f t="shared" si="10"/>
        <v>20</v>
      </c>
      <c r="Q64" s="167" t="s">
        <v>18</v>
      </c>
      <c r="R64" s="168"/>
      <c r="S64" s="38"/>
      <c r="T64" s="175">
        <f t="shared" si="11"/>
        <v>20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D45B-E316-448D-99AC-433E35060149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14" t="s">
        <v>417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0.9</v>
      </c>
      <c r="E29" s="35">
        <f>B29+D29</f>
        <v>30.9</v>
      </c>
      <c r="F29" s="177">
        <f>$E$19</f>
        <v>30</v>
      </c>
      <c r="G29" s="178"/>
      <c r="H29" s="34">
        <v>0.4</v>
      </c>
      <c r="I29" s="175">
        <f>F29+H29</f>
        <v>30.4</v>
      </c>
      <c r="J29" s="176"/>
      <c r="M29" s="179">
        <f>$E$18</f>
        <v>30</v>
      </c>
      <c r="N29" s="180"/>
      <c r="O29" s="36">
        <v>0.8</v>
      </c>
      <c r="P29" s="37">
        <f>M29+O29</f>
        <v>30.8</v>
      </c>
      <c r="Q29" s="179">
        <f>$E$19</f>
        <v>30</v>
      </c>
      <c r="R29" s="180"/>
      <c r="S29" s="36">
        <v>0.1</v>
      </c>
      <c r="T29" s="181">
        <f>Q29+S29</f>
        <v>30.1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</v>
      </c>
      <c r="E31" s="40">
        <f t="shared" ref="E31:E38" si="0">$E$20+D31</f>
        <v>30</v>
      </c>
      <c r="F31" s="167" t="s">
        <v>16</v>
      </c>
      <c r="G31" s="168"/>
      <c r="H31" s="34">
        <v>0.1</v>
      </c>
      <c r="I31" s="175">
        <f t="shared" ref="I31:I38" si="1">$E$21+H31</f>
        <v>30.1</v>
      </c>
      <c r="J31" s="176"/>
      <c r="M31" s="166" t="s">
        <v>17</v>
      </c>
      <c r="N31" s="166"/>
      <c r="O31" s="39">
        <v>0</v>
      </c>
      <c r="P31" s="40">
        <f t="shared" ref="P31:P38" si="2">$E$20+O31</f>
        <v>30</v>
      </c>
      <c r="Q31" s="167" t="s">
        <v>17</v>
      </c>
      <c r="R31" s="168"/>
      <c r="S31" s="34">
        <v>0</v>
      </c>
      <c r="T31" s="175">
        <f t="shared" ref="T31:T38" si="3"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C3C0-4595-42BF-9CFB-21FF3A2E8BC6}">
  <sheetPr>
    <tabColor rgb="FFFF0000"/>
  </sheetPr>
  <dimension ref="A1:CB51"/>
  <sheetViews>
    <sheetView workbookViewId="0">
      <pane ySplit="2" topLeftCell="A3" activePane="bottomLeft" state="frozen"/>
      <selection pane="bottomLeft" activeCell="A10" sqref="A8:XFD10"/>
    </sheetView>
  </sheetViews>
  <sheetFormatPr defaultRowHeight="15" x14ac:dyDescent="0.25"/>
  <cols>
    <col min="1" max="1" width="11.140625" style="4" customWidth="1"/>
    <col min="2" max="2" width="23.140625" style="2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108" customFormat="1" x14ac:dyDescent="0.25">
      <c r="A3" s="109"/>
      <c r="B3" s="110"/>
      <c r="C3" s="109">
        <v>4508701002</v>
      </c>
      <c r="D3" s="126">
        <v>46038</v>
      </c>
      <c r="E3" s="109">
        <v>92206</v>
      </c>
      <c r="F3" s="109" t="s">
        <v>128</v>
      </c>
      <c r="G3" s="109">
        <v>1</v>
      </c>
      <c r="H3" s="109">
        <v>52057</v>
      </c>
      <c r="I3" s="109" t="s">
        <v>418</v>
      </c>
      <c r="J3" s="109" t="s">
        <v>106</v>
      </c>
      <c r="K3" s="109">
        <v>2</v>
      </c>
      <c r="L3" s="109">
        <v>10106</v>
      </c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</row>
    <row r="4" spans="1:80" s="108" customFormat="1" x14ac:dyDescent="0.25">
      <c r="A4" s="109"/>
      <c r="B4" s="110"/>
      <c r="C4" s="109">
        <v>4727001001</v>
      </c>
      <c r="D4" s="126">
        <v>46038</v>
      </c>
      <c r="E4" s="109">
        <v>94606</v>
      </c>
      <c r="F4" s="109" t="s">
        <v>419</v>
      </c>
      <c r="G4" s="109">
        <v>2</v>
      </c>
      <c r="H4" s="109">
        <v>57717</v>
      </c>
      <c r="I4" s="109" t="s">
        <v>420</v>
      </c>
      <c r="J4" s="109" t="s">
        <v>103</v>
      </c>
      <c r="K4" s="109">
        <v>1</v>
      </c>
      <c r="L4" s="109">
        <v>10107</v>
      </c>
      <c r="M4" s="109"/>
      <c r="N4" s="109"/>
      <c r="O4" s="109"/>
      <c r="P4" s="109"/>
      <c r="Q4" s="109"/>
      <c r="R4" s="109"/>
      <c r="S4" s="109"/>
      <c r="T4" s="109"/>
      <c r="U4" s="109"/>
      <c r="V4" s="110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</row>
    <row r="5" spans="1:80" s="49" customFormat="1" x14ac:dyDescent="0.25">
      <c r="A5" s="46" t="s">
        <v>421</v>
      </c>
      <c r="B5" s="64"/>
      <c r="C5" s="46">
        <v>4731301001</v>
      </c>
      <c r="D5" s="47">
        <v>46038</v>
      </c>
      <c r="E5" s="46">
        <v>94630</v>
      </c>
      <c r="F5" s="46" t="s">
        <v>121</v>
      </c>
      <c r="G5" s="46">
        <v>1</v>
      </c>
      <c r="H5" s="46">
        <v>57746</v>
      </c>
      <c r="I5" s="46" t="s">
        <v>422</v>
      </c>
      <c r="J5" s="46" t="s">
        <v>103</v>
      </c>
      <c r="K5" s="46">
        <v>1</v>
      </c>
      <c r="L5" s="46">
        <v>10107</v>
      </c>
      <c r="M5" s="46"/>
      <c r="N5" s="46">
        <v>50</v>
      </c>
      <c r="O5" s="46">
        <v>50</v>
      </c>
      <c r="P5" s="46">
        <v>24</v>
      </c>
      <c r="Q5" s="46">
        <v>50</v>
      </c>
      <c r="R5" s="46" t="s">
        <v>423</v>
      </c>
      <c r="S5" s="48">
        <v>0.55902777777777779</v>
      </c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CB5" s="49" t="s">
        <v>421</v>
      </c>
    </row>
    <row r="6" spans="1:80" s="49" customFormat="1" x14ac:dyDescent="0.25">
      <c r="A6" s="46" t="s">
        <v>421</v>
      </c>
      <c r="B6" s="64"/>
      <c r="C6" s="46">
        <v>4731301002</v>
      </c>
      <c r="D6" s="47">
        <v>46038</v>
      </c>
      <c r="E6" s="46">
        <v>94630</v>
      </c>
      <c r="F6" s="46" t="s">
        <v>121</v>
      </c>
      <c r="G6" s="46">
        <v>1</v>
      </c>
      <c r="H6" s="46">
        <v>57747</v>
      </c>
      <c r="I6" s="46" t="s">
        <v>424</v>
      </c>
      <c r="J6" s="46" t="s">
        <v>103</v>
      </c>
      <c r="K6" s="46">
        <v>2</v>
      </c>
      <c r="L6" s="46">
        <v>10107</v>
      </c>
      <c r="M6" s="46"/>
      <c r="N6" s="46">
        <v>37</v>
      </c>
      <c r="O6" s="46">
        <v>19</v>
      </c>
      <c r="P6" s="46">
        <v>50</v>
      </c>
      <c r="Q6" s="46">
        <v>50</v>
      </c>
      <c r="R6" s="46" t="s">
        <v>425</v>
      </c>
      <c r="S6" s="48">
        <v>0.55208333333333337</v>
      </c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CB6" s="49" t="s">
        <v>426</v>
      </c>
    </row>
    <row r="7" spans="1:80" x14ac:dyDescent="0.25">
      <c r="A7" s="62"/>
      <c r="C7" s="4">
        <v>4731301003</v>
      </c>
      <c r="D7" s="50">
        <v>46038</v>
      </c>
      <c r="E7" s="4">
        <v>94630</v>
      </c>
      <c r="F7" s="4" t="s">
        <v>121</v>
      </c>
      <c r="G7" s="4">
        <v>1</v>
      </c>
      <c r="H7" s="4">
        <v>57883</v>
      </c>
      <c r="I7" s="4" t="s">
        <v>427</v>
      </c>
      <c r="J7" s="4" t="s">
        <v>103</v>
      </c>
      <c r="K7" s="4">
        <v>3</v>
      </c>
      <c r="L7" s="4">
        <v>10107</v>
      </c>
      <c r="V7" s="66"/>
      <c r="W7" s="5"/>
      <c r="X7" s="5"/>
      <c r="CB7" t="s">
        <v>428</v>
      </c>
    </row>
    <row r="8" spans="1:80" s="49" customFormat="1" x14ac:dyDescent="0.25">
      <c r="A8" s="46"/>
      <c r="B8" s="64"/>
      <c r="C8" s="46">
        <v>4731301004</v>
      </c>
      <c r="D8" s="47">
        <v>46038</v>
      </c>
      <c r="E8" s="46">
        <v>94630</v>
      </c>
      <c r="F8" s="46" t="s">
        <v>121</v>
      </c>
      <c r="G8" s="46">
        <v>1</v>
      </c>
      <c r="H8" s="46">
        <v>57834</v>
      </c>
      <c r="I8" s="46" t="s">
        <v>429</v>
      </c>
      <c r="J8" s="46" t="s">
        <v>103</v>
      </c>
      <c r="K8" s="46">
        <v>4</v>
      </c>
      <c r="L8" s="46">
        <v>10107</v>
      </c>
      <c r="M8" s="46"/>
      <c r="N8" s="46"/>
      <c r="O8" s="46"/>
      <c r="P8" s="46"/>
      <c r="Q8" s="46"/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/>
      <c r="B9" s="64"/>
      <c r="C9" s="46">
        <v>4731301005</v>
      </c>
      <c r="D9" s="47">
        <v>46038</v>
      </c>
      <c r="E9" s="46">
        <v>94630</v>
      </c>
      <c r="F9" s="46" t="s">
        <v>121</v>
      </c>
      <c r="G9" s="46">
        <v>1</v>
      </c>
      <c r="H9" s="46">
        <v>57835</v>
      </c>
      <c r="I9" s="46" t="s">
        <v>431</v>
      </c>
      <c r="J9" s="46" t="s">
        <v>103</v>
      </c>
      <c r="K9" s="46">
        <v>5</v>
      </c>
      <c r="L9" s="46">
        <v>10107</v>
      </c>
      <c r="M9" s="46"/>
      <c r="N9" s="46"/>
      <c r="O9" s="46"/>
      <c r="P9" s="46"/>
      <c r="Q9" s="46"/>
      <c r="R9" s="46"/>
      <c r="S9" s="46"/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/>
      <c r="B10" s="64"/>
      <c r="C10" s="46">
        <v>4731301006</v>
      </c>
      <c r="D10" s="47">
        <v>46038</v>
      </c>
      <c r="E10" s="46">
        <v>94630</v>
      </c>
      <c r="F10" s="46" t="s">
        <v>121</v>
      </c>
      <c r="G10" s="46">
        <v>1</v>
      </c>
      <c r="H10" s="46">
        <v>57754</v>
      </c>
      <c r="I10" s="46" t="s">
        <v>432</v>
      </c>
      <c r="J10" s="46" t="s">
        <v>103</v>
      </c>
      <c r="K10" s="46">
        <v>6</v>
      </c>
      <c r="L10" s="46">
        <v>10107</v>
      </c>
      <c r="M10" s="48"/>
      <c r="N10" s="46"/>
      <c r="O10" s="46"/>
      <c r="P10" s="46"/>
      <c r="Q10" s="46"/>
      <c r="R10" s="46"/>
      <c r="S10" s="46"/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421</v>
      </c>
      <c r="B11" s="64"/>
      <c r="C11" s="46">
        <v>4735401004</v>
      </c>
      <c r="D11" s="47">
        <v>46038</v>
      </c>
      <c r="E11" s="46">
        <v>94684</v>
      </c>
      <c r="F11" s="46" t="s">
        <v>433</v>
      </c>
      <c r="G11" s="46">
        <v>2</v>
      </c>
      <c r="H11" s="46">
        <v>57946</v>
      </c>
      <c r="I11" s="46" t="s">
        <v>434</v>
      </c>
      <c r="J11" s="46"/>
      <c r="K11" s="46">
        <v>1</v>
      </c>
      <c r="L11" s="46">
        <v>10101</v>
      </c>
      <c r="M11" s="48">
        <v>0.60416666666666663</v>
      </c>
      <c r="N11" s="46">
        <v>43</v>
      </c>
      <c r="O11" s="46">
        <v>43</v>
      </c>
      <c r="P11" s="46">
        <v>34</v>
      </c>
      <c r="Q11" s="46">
        <v>50</v>
      </c>
      <c r="R11" s="46" t="s">
        <v>435</v>
      </c>
      <c r="S11" s="46"/>
      <c r="T11" s="46">
        <v>50</v>
      </c>
      <c r="U11" s="46">
        <v>50</v>
      </c>
      <c r="V11" s="64">
        <v>50</v>
      </c>
      <c r="W11" s="46">
        <v>50</v>
      </c>
      <c r="X11" s="46" t="s">
        <v>436</v>
      </c>
      <c r="Y11" s="48">
        <v>0.64861111111111114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 t="s">
        <v>421</v>
      </c>
      <c r="B12" s="64"/>
      <c r="C12" s="46">
        <v>4735401005</v>
      </c>
      <c r="D12" s="47">
        <v>46038</v>
      </c>
      <c r="E12" s="46">
        <v>94684</v>
      </c>
      <c r="F12" s="46" t="s">
        <v>433</v>
      </c>
      <c r="G12" s="46">
        <v>2</v>
      </c>
      <c r="H12" s="46">
        <v>57947</v>
      </c>
      <c r="I12" s="46" t="s">
        <v>437</v>
      </c>
      <c r="J12" s="46"/>
      <c r="K12" s="46">
        <v>2</v>
      </c>
      <c r="L12" s="46">
        <v>10101</v>
      </c>
      <c r="M12" s="48">
        <v>0.60416666666666663</v>
      </c>
      <c r="N12" s="46">
        <v>34</v>
      </c>
      <c r="O12" s="46">
        <v>34</v>
      </c>
      <c r="P12" s="46">
        <v>33</v>
      </c>
      <c r="Q12" s="46">
        <v>20</v>
      </c>
      <c r="R12" s="46" t="s">
        <v>438</v>
      </c>
      <c r="S12" s="46"/>
      <c r="T12" s="46">
        <v>50</v>
      </c>
      <c r="U12" s="46">
        <v>50</v>
      </c>
      <c r="V12" s="64">
        <v>27</v>
      </c>
      <c r="W12" s="46">
        <v>30</v>
      </c>
      <c r="X12" s="46" t="s">
        <v>439</v>
      </c>
      <c r="Y12" s="48">
        <v>0.63541666666666663</v>
      </c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49" customFormat="1" x14ac:dyDescent="0.25">
      <c r="A13" s="46"/>
      <c r="B13" s="64"/>
      <c r="C13" s="46">
        <v>4735401006</v>
      </c>
      <c r="D13" s="47">
        <v>46038</v>
      </c>
      <c r="E13" s="46">
        <v>94684</v>
      </c>
      <c r="F13" s="46" t="s">
        <v>433</v>
      </c>
      <c r="G13" s="46">
        <v>2</v>
      </c>
      <c r="H13" s="46">
        <v>57948</v>
      </c>
      <c r="I13" s="46" t="s">
        <v>440</v>
      </c>
      <c r="J13" s="46"/>
      <c r="K13" s="46">
        <v>3</v>
      </c>
      <c r="L13" s="46">
        <v>10101</v>
      </c>
      <c r="M13" s="48">
        <v>0.63888888888888884</v>
      </c>
      <c r="N13" s="46">
        <v>12</v>
      </c>
      <c r="O13" s="46">
        <v>12</v>
      </c>
      <c r="P13" s="46">
        <v>39</v>
      </c>
      <c r="Q13" s="46">
        <v>50</v>
      </c>
      <c r="R13" s="46" t="s">
        <v>441</v>
      </c>
      <c r="S13" s="46"/>
      <c r="T13" s="46">
        <v>44</v>
      </c>
      <c r="U13" s="46">
        <v>44</v>
      </c>
      <c r="V13" s="64">
        <v>35</v>
      </c>
      <c r="W13" s="46">
        <v>52</v>
      </c>
      <c r="X13" s="46" t="s">
        <v>442</v>
      </c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</row>
    <row r="14" spans="1:80" s="49" customFormat="1" x14ac:dyDescent="0.25">
      <c r="A14" s="46" t="s">
        <v>421</v>
      </c>
      <c r="B14" s="64"/>
      <c r="C14" s="46">
        <v>4733601001</v>
      </c>
      <c r="D14" s="47">
        <v>46050</v>
      </c>
      <c r="E14" s="46">
        <v>91610</v>
      </c>
      <c r="F14" s="46" t="s">
        <v>397</v>
      </c>
      <c r="G14" s="46">
        <v>2</v>
      </c>
      <c r="H14" s="46">
        <v>54899</v>
      </c>
      <c r="I14" s="46" t="s">
        <v>400</v>
      </c>
      <c r="J14" s="46" t="s">
        <v>399</v>
      </c>
      <c r="K14" s="46">
        <v>23</v>
      </c>
      <c r="L14" s="46">
        <v>10103</v>
      </c>
      <c r="M14" s="48">
        <v>0.52777777777777779</v>
      </c>
      <c r="N14" s="46">
        <v>50</v>
      </c>
      <c r="O14" s="46">
        <v>35</v>
      </c>
      <c r="P14" s="46">
        <v>26</v>
      </c>
      <c r="Q14" s="46">
        <v>26</v>
      </c>
      <c r="R14" s="46"/>
      <c r="S14" s="46"/>
      <c r="T14" s="46">
        <v>50</v>
      </c>
      <c r="U14" s="46">
        <v>18</v>
      </c>
      <c r="V14" s="64">
        <v>30</v>
      </c>
      <c r="W14" s="46">
        <v>30</v>
      </c>
      <c r="X14" s="46"/>
      <c r="Y14" s="48">
        <v>0.36249999999999999</v>
      </c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</row>
    <row r="15" spans="1:80" s="49" customFormat="1" x14ac:dyDescent="0.25">
      <c r="A15" s="46" t="s">
        <v>421</v>
      </c>
      <c r="B15" s="64"/>
      <c r="C15" s="46">
        <v>4733501003</v>
      </c>
      <c r="D15" s="47">
        <v>46050</v>
      </c>
      <c r="E15" s="46">
        <v>91578</v>
      </c>
      <c r="F15" s="46" t="s">
        <v>397</v>
      </c>
      <c r="G15" s="46">
        <v>1</v>
      </c>
      <c r="H15" s="46">
        <v>54897</v>
      </c>
      <c r="I15" s="46" t="s">
        <v>443</v>
      </c>
      <c r="J15" s="46" t="s">
        <v>399</v>
      </c>
      <c r="K15" s="46">
        <v>16</v>
      </c>
      <c r="L15" s="46">
        <v>10103</v>
      </c>
      <c r="M15" s="46" t="s">
        <v>444</v>
      </c>
      <c r="N15" s="46">
        <v>50</v>
      </c>
      <c r="O15" s="46">
        <v>43</v>
      </c>
      <c r="P15" s="46">
        <v>50</v>
      </c>
      <c r="Q15" s="46">
        <v>50</v>
      </c>
      <c r="R15" s="46"/>
      <c r="S15" s="48">
        <v>0.40625</v>
      </c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426</v>
      </c>
      <c r="B16" s="64"/>
      <c r="C16" s="46">
        <v>4733501001</v>
      </c>
      <c r="D16" s="47">
        <v>46050</v>
      </c>
      <c r="E16" s="46">
        <v>91578</v>
      </c>
      <c r="F16" s="46" t="s">
        <v>397</v>
      </c>
      <c r="G16" s="46">
        <v>2</v>
      </c>
      <c r="H16" s="46">
        <v>54899</v>
      </c>
      <c r="I16" s="46" t="s">
        <v>400</v>
      </c>
      <c r="J16" s="46" t="s">
        <v>399</v>
      </c>
      <c r="K16" s="46">
        <v>17</v>
      </c>
      <c r="L16" s="46">
        <v>10103</v>
      </c>
      <c r="M16" s="46" t="s">
        <v>445</v>
      </c>
      <c r="N16" s="46">
        <v>48</v>
      </c>
      <c r="O16" s="46">
        <v>35</v>
      </c>
      <c r="P16" s="46">
        <v>20</v>
      </c>
      <c r="Q16" s="46">
        <f>P16</f>
        <v>20</v>
      </c>
      <c r="R16" s="46"/>
      <c r="S16" s="46" t="s">
        <v>445</v>
      </c>
      <c r="T16" s="46">
        <v>33</v>
      </c>
      <c r="U16" s="46">
        <v>41</v>
      </c>
      <c r="V16" s="64">
        <v>39</v>
      </c>
      <c r="W16" s="46">
        <f>V16</f>
        <v>39</v>
      </c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49" customFormat="1" x14ac:dyDescent="0.25">
      <c r="A17" s="46" t="s">
        <v>426</v>
      </c>
      <c r="B17" s="64"/>
      <c r="C17" s="46">
        <v>4737101001</v>
      </c>
      <c r="D17" s="47">
        <v>46050</v>
      </c>
      <c r="E17" s="46">
        <v>91580</v>
      </c>
      <c r="F17" s="46" t="s">
        <v>397</v>
      </c>
      <c r="G17" s="46">
        <v>2</v>
      </c>
      <c r="H17" s="46">
        <v>54899</v>
      </c>
      <c r="I17" s="46" t="s">
        <v>400</v>
      </c>
      <c r="J17" s="46" t="s">
        <v>399</v>
      </c>
      <c r="K17" s="46">
        <v>17</v>
      </c>
      <c r="L17" s="46">
        <v>10103</v>
      </c>
      <c r="M17" s="46" t="s">
        <v>446</v>
      </c>
      <c r="N17" s="46">
        <v>26</v>
      </c>
      <c r="O17" s="46">
        <v>44</v>
      </c>
      <c r="P17" s="46">
        <v>40</v>
      </c>
      <c r="Q17" s="46">
        <f>P17</f>
        <v>40</v>
      </c>
      <c r="R17" s="46"/>
      <c r="S17" s="46" t="s">
        <v>446</v>
      </c>
      <c r="T17" s="46">
        <v>45</v>
      </c>
      <c r="U17" s="46">
        <v>22</v>
      </c>
      <c r="V17" s="64">
        <v>45</v>
      </c>
      <c r="W17" s="46">
        <f>V17</f>
        <v>45</v>
      </c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</row>
    <row r="18" spans="1:77" x14ac:dyDescent="0.25">
      <c r="A18" s="62"/>
      <c r="V18" s="21"/>
    </row>
    <row r="19" spans="1:77" x14ac:dyDescent="0.25">
      <c r="A19" s="62"/>
      <c r="V19" s="21"/>
    </row>
    <row r="20" spans="1:77" x14ac:dyDescent="0.25">
      <c r="A20" s="62"/>
      <c r="V20" s="21"/>
    </row>
    <row r="21" spans="1:77" x14ac:dyDescent="0.25">
      <c r="A21" s="62"/>
      <c r="V21" s="21"/>
    </row>
    <row r="22" spans="1:77" x14ac:dyDescent="0.25">
      <c r="A22" s="62"/>
      <c r="V22" s="21"/>
    </row>
    <row r="23" spans="1:77" x14ac:dyDescent="0.25">
      <c r="A23" s="62"/>
      <c r="V23" s="21"/>
    </row>
    <row r="24" spans="1:77" x14ac:dyDescent="0.25">
      <c r="A24" s="62"/>
      <c r="V24" s="21"/>
    </row>
    <row r="25" spans="1:77" x14ac:dyDescent="0.25">
      <c r="A25" s="62"/>
      <c r="V25" s="21"/>
    </row>
    <row r="26" spans="1:77" x14ac:dyDescent="0.25">
      <c r="A26" s="62"/>
      <c r="V26" s="21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x14ac:dyDescent="0.25">
      <c r="A30" s="62"/>
      <c r="V30" s="21"/>
    </row>
    <row r="31" spans="1:77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2"/>
      <c r="V31" s="68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</row>
    <row r="32" spans="1:77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0"/>
      <c r="V32" s="69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V45" s="21"/>
    </row>
    <row r="46" spans="1:2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</sheetData>
  <mergeCells count="2">
    <mergeCell ref="A1:E1"/>
    <mergeCell ref="G1:H1"/>
  </mergeCells>
  <conditionalFormatting sqref="A3:A51">
    <cfRule type="containsText" dxfId="47" priority="1" operator="containsText" text="PEDRO">
      <formula>NOT(ISERROR(SEARCH("PEDRO",A3)))</formula>
    </cfRule>
    <cfRule type="containsText" dxfId="46" priority="2" operator="containsText" text="YGOR">
      <formula>NOT(ISERROR(SEARCH("YGOR",A3)))</formula>
    </cfRule>
    <cfRule type="containsText" dxfId="45" priority="3" operator="containsText" text="ALEXANDRE">
      <formula>NOT(ISERROR(SEARCH("ALEXANDRE",A3)))</formula>
    </cfRule>
    <cfRule type="containsText" dxfId="44" priority="4" operator="containsText" text="LILIAN">
      <formula>NOT(ISERROR(SEARCH("LILIAN",A3)))</formula>
    </cfRule>
  </conditionalFormatting>
  <conditionalFormatting sqref="J1:J1048576">
    <cfRule type="containsText" dxfId="43" priority="5" operator="containsText" text="ALFA TRANSPORTES">
      <formula>NOT(ISERROR(SEARCH("ALFA TRANSPORTES",J1)))</formula>
    </cfRule>
    <cfRule type="containsText" dxfId="42" priority="6" operator="containsText" text="NEW BIGTRANS">
      <formula>NOT(ISERROR(SEARCH("NEW BIGTRANS",J1)))</formula>
    </cfRule>
    <cfRule type="containsText" dxfId="41" priority="7" operator="containsText" text="EXPRESSO SAO MIGUEL">
      <formula>NOT(ISERROR(SEARCH("EXPRESSO SAO MIGUEL",J1)))</formula>
    </cfRule>
    <cfRule type="containsText" dxfId="40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4EF1F011-46D6-47E5-805D-948CF51A41FA}">
      <formula1>$CB$5:$CB$8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4D68-4B6E-426D-AEBF-0BCF02494258}">
  <sheetPr>
    <tabColor rgb="FFFF0000"/>
  </sheetPr>
  <dimension ref="A1:CB50"/>
  <sheetViews>
    <sheetView workbookViewId="0">
      <pane ySplit="2" topLeftCell="A18" activePane="bottomLeft" state="frozen"/>
      <selection pane="bottomLeft" activeCell="A23" sqref="A23"/>
    </sheetView>
  </sheetViews>
  <sheetFormatPr defaultRowHeight="15" x14ac:dyDescent="0.25"/>
  <cols>
    <col min="1" max="1" width="11.140625" style="4" customWidth="1"/>
    <col min="2" max="2" width="13.5703125" style="2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49" customFormat="1" x14ac:dyDescent="0.25">
      <c r="A3" s="62"/>
      <c r="B3" s="21"/>
      <c r="C3" s="4">
        <v>4217801001</v>
      </c>
      <c r="D3" s="50">
        <v>46041</v>
      </c>
      <c r="E3" s="4">
        <v>84172</v>
      </c>
      <c r="F3" s="4" t="s">
        <v>447</v>
      </c>
      <c r="G3" s="4">
        <v>2</v>
      </c>
      <c r="H3" s="4">
        <v>51070</v>
      </c>
      <c r="I3" s="4" t="s">
        <v>448</v>
      </c>
      <c r="J3" s="4" t="s">
        <v>120</v>
      </c>
      <c r="K3" s="4">
        <v>1</v>
      </c>
      <c r="L3" s="4">
        <v>10102</v>
      </c>
      <c r="M3" s="4"/>
      <c r="N3" s="4"/>
      <c r="O3" s="4"/>
      <c r="P3" s="4"/>
      <c r="Q3" s="4"/>
      <c r="R3" s="4"/>
      <c r="S3" s="4"/>
      <c r="T3" s="4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</row>
    <row r="4" spans="1:80" s="49" customFormat="1" x14ac:dyDescent="0.25">
      <c r="A4" s="46"/>
      <c r="B4" s="64"/>
      <c r="C4" s="46">
        <v>4714301002</v>
      </c>
      <c r="D4" s="47">
        <v>46041</v>
      </c>
      <c r="E4" s="46">
        <v>93164</v>
      </c>
      <c r="F4" s="46" t="s">
        <v>197</v>
      </c>
      <c r="G4" s="46">
        <v>1</v>
      </c>
      <c r="H4" s="46">
        <v>56430</v>
      </c>
      <c r="I4" s="46" t="s">
        <v>250</v>
      </c>
      <c r="J4" s="46" t="s">
        <v>103</v>
      </c>
      <c r="K4" s="46">
        <v>2</v>
      </c>
      <c r="L4" s="46">
        <v>10106</v>
      </c>
      <c r="M4" s="46"/>
      <c r="N4" s="46"/>
      <c r="O4" s="46"/>
      <c r="P4" s="46"/>
      <c r="Q4" s="46"/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</row>
    <row r="5" spans="1:80" s="108" customFormat="1" x14ac:dyDescent="0.25">
      <c r="A5" s="109"/>
      <c r="B5" s="110"/>
      <c r="C5" s="109"/>
      <c r="D5" s="126">
        <v>46041</v>
      </c>
      <c r="E5" s="109">
        <v>93164</v>
      </c>
      <c r="F5" s="109" t="s">
        <v>197</v>
      </c>
      <c r="G5" s="109">
        <v>1</v>
      </c>
      <c r="H5" s="109">
        <v>57140</v>
      </c>
      <c r="I5" s="109" t="s">
        <v>449</v>
      </c>
      <c r="J5" s="109" t="s">
        <v>103</v>
      </c>
      <c r="K5" s="109">
        <v>7</v>
      </c>
      <c r="L5" s="109">
        <v>10106</v>
      </c>
      <c r="M5" s="109"/>
      <c r="N5" s="109"/>
      <c r="O5" s="109"/>
      <c r="P5" s="109"/>
      <c r="Q5" s="109"/>
      <c r="R5" s="109"/>
      <c r="S5" s="109"/>
      <c r="T5" s="109"/>
      <c r="U5" s="109"/>
      <c r="V5" s="110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CB5" s="108" t="s">
        <v>421</v>
      </c>
    </row>
    <row r="6" spans="1:80" s="108" customFormat="1" x14ac:dyDescent="0.25">
      <c r="A6" s="109"/>
      <c r="B6" s="110"/>
      <c r="C6" s="109"/>
      <c r="D6" s="126">
        <v>46041</v>
      </c>
      <c r="E6" s="109">
        <v>93164</v>
      </c>
      <c r="F6" s="109" t="s">
        <v>197</v>
      </c>
      <c r="G6" s="109">
        <v>1</v>
      </c>
      <c r="H6" s="109">
        <v>54630</v>
      </c>
      <c r="I6" s="109" t="s">
        <v>450</v>
      </c>
      <c r="J6" s="109" t="s">
        <v>103</v>
      </c>
      <c r="K6" s="109">
        <v>10</v>
      </c>
      <c r="L6" s="109">
        <v>10106</v>
      </c>
      <c r="M6" s="109"/>
      <c r="N6" s="109"/>
      <c r="O6" s="109"/>
      <c r="P6" s="109"/>
      <c r="Q6" s="109"/>
      <c r="R6" s="109"/>
      <c r="S6" s="109"/>
      <c r="T6" s="109"/>
      <c r="U6" s="109"/>
      <c r="V6" s="110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CB6" s="108" t="s">
        <v>426</v>
      </c>
    </row>
    <row r="7" spans="1:80" s="108" customFormat="1" x14ac:dyDescent="0.25">
      <c r="A7" s="109"/>
      <c r="B7" s="110"/>
      <c r="C7" s="109"/>
      <c r="D7" s="126">
        <v>46041</v>
      </c>
      <c r="E7" s="109">
        <v>93164</v>
      </c>
      <c r="F7" s="109" t="s">
        <v>197</v>
      </c>
      <c r="G7" s="109">
        <v>1</v>
      </c>
      <c r="H7" s="109">
        <v>55877</v>
      </c>
      <c r="I7" s="109" t="s">
        <v>198</v>
      </c>
      <c r="J7" s="109" t="s">
        <v>103</v>
      </c>
      <c r="K7" s="109">
        <v>11</v>
      </c>
      <c r="L7" s="109">
        <v>10106</v>
      </c>
      <c r="M7" s="109"/>
      <c r="N7" s="109"/>
      <c r="O7" s="109"/>
      <c r="P7" s="109"/>
      <c r="Q7" s="109"/>
      <c r="R7" s="109"/>
      <c r="S7" s="109"/>
      <c r="T7" s="109"/>
      <c r="U7" s="109"/>
      <c r="V7" s="111"/>
      <c r="W7" s="112"/>
      <c r="X7" s="112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CB7" s="108" t="s">
        <v>428</v>
      </c>
    </row>
    <row r="8" spans="1:80" s="49" customFormat="1" x14ac:dyDescent="0.25">
      <c r="A8" s="46" t="s">
        <v>428</v>
      </c>
      <c r="B8" s="64"/>
      <c r="C8" s="46">
        <v>4738101001</v>
      </c>
      <c r="D8" s="47">
        <v>46041</v>
      </c>
      <c r="E8" s="46">
        <v>93448</v>
      </c>
      <c r="F8" s="46" t="s">
        <v>451</v>
      </c>
      <c r="G8" s="46">
        <v>1</v>
      </c>
      <c r="H8" s="46">
        <v>57308</v>
      </c>
      <c r="I8" s="46" t="s">
        <v>452</v>
      </c>
      <c r="J8" s="46" t="s">
        <v>166</v>
      </c>
      <c r="K8" s="46">
        <v>8</v>
      </c>
      <c r="L8" s="46">
        <v>10101</v>
      </c>
      <c r="M8" s="46"/>
      <c r="N8" s="46"/>
      <c r="O8" s="46"/>
      <c r="P8" s="46"/>
      <c r="Q8" s="46"/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 t="s">
        <v>428</v>
      </c>
      <c r="B9" s="64"/>
      <c r="C9" s="46">
        <v>4738101002</v>
      </c>
      <c r="D9" s="47">
        <v>46041</v>
      </c>
      <c r="E9" s="46">
        <v>93448</v>
      </c>
      <c r="F9" s="46" t="s">
        <v>451</v>
      </c>
      <c r="G9" s="46">
        <v>1</v>
      </c>
      <c r="H9" s="46">
        <v>57308</v>
      </c>
      <c r="I9" s="46" t="s">
        <v>452</v>
      </c>
      <c r="J9" s="46" t="s">
        <v>166</v>
      </c>
      <c r="K9" s="46">
        <v>9</v>
      </c>
      <c r="L9" s="46">
        <v>10101</v>
      </c>
      <c r="M9" s="46"/>
      <c r="N9" s="46"/>
      <c r="O9" s="46"/>
      <c r="P9" s="46"/>
      <c r="Q9" s="46"/>
      <c r="R9" s="46"/>
      <c r="S9" s="46"/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 t="s">
        <v>421</v>
      </c>
      <c r="B10" s="64"/>
      <c r="C10" s="46">
        <v>4739301001</v>
      </c>
      <c r="D10" s="47">
        <v>46041</v>
      </c>
      <c r="E10" s="46">
        <v>93704</v>
      </c>
      <c r="F10" s="46" t="s">
        <v>453</v>
      </c>
      <c r="G10" s="46">
        <v>1</v>
      </c>
      <c r="H10" s="46">
        <v>55777</v>
      </c>
      <c r="I10" s="46" t="s">
        <v>454</v>
      </c>
      <c r="J10" s="46" t="s">
        <v>106</v>
      </c>
      <c r="K10" s="46">
        <v>1</v>
      </c>
      <c r="L10" s="46">
        <v>10106</v>
      </c>
      <c r="M10" s="48">
        <v>0.375</v>
      </c>
      <c r="N10" s="46">
        <v>49</v>
      </c>
      <c r="O10" s="46">
        <v>49</v>
      </c>
      <c r="P10" s="46">
        <v>41</v>
      </c>
      <c r="Q10" s="46">
        <v>42</v>
      </c>
      <c r="R10" s="46" t="s">
        <v>455</v>
      </c>
      <c r="S10" s="48">
        <v>0.40138888888888891</v>
      </c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421</v>
      </c>
      <c r="B11" s="64"/>
      <c r="C11" s="46">
        <v>4739301002</v>
      </c>
      <c r="D11" s="47">
        <v>46041</v>
      </c>
      <c r="E11" s="46">
        <v>93704</v>
      </c>
      <c r="F11" s="46" t="s">
        <v>453</v>
      </c>
      <c r="G11" s="46">
        <v>1</v>
      </c>
      <c r="H11" s="46">
        <v>55778</v>
      </c>
      <c r="I11" s="46" t="s">
        <v>456</v>
      </c>
      <c r="J11" s="46" t="s">
        <v>106</v>
      </c>
      <c r="K11" s="46">
        <v>2</v>
      </c>
      <c r="L11" s="46">
        <v>10106</v>
      </c>
      <c r="M11" s="48">
        <v>0.41458333333333336</v>
      </c>
      <c r="N11" s="46">
        <v>26</v>
      </c>
      <c r="O11" s="46">
        <v>28</v>
      </c>
      <c r="P11" s="46">
        <v>49</v>
      </c>
      <c r="Q11" s="46">
        <v>49</v>
      </c>
      <c r="R11" s="46" t="s">
        <v>457</v>
      </c>
      <c r="S11" s="48">
        <v>0.46875</v>
      </c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 t="s">
        <v>421</v>
      </c>
      <c r="B12" s="64"/>
      <c r="C12" s="46">
        <v>4739401001</v>
      </c>
      <c r="D12" s="47">
        <v>46041</v>
      </c>
      <c r="E12" s="46">
        <v>93949</v>
      </c>
      <c r="F12" s="46" t="s">
        <v>458</v>
      </c>
      <c r="G12" s="46">
        <v>1</v>
      </c>
      <c r="H12" s="46">
        <v>57533</v>
      </c>
      <c r="I12" s="46" t="s">
        <v>459</v>
      </c>
      <c r="J12" s="46" t="s">
        <v>103</v>
      </c>
      <c r="K12" s="46">
        <v>2</v>
      </c>
      <c r="L12" s="46">
        <v>10104</v>
      </c>
      <c r="M12" s="46"/>
      <c r="N12" s="46">
        <v>50</v>
      </c>
      <c r="O12" s="46">
        <v>34</v>
      </c>
      <c r="P12" s="46">
        <v>47</v>
      </c>
      <c r="Q12" s="46">
        <v>47</v>
      </c>
      <c r="R12" s="46"/>
      <c r="S12" s="46"/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108" customFormat="1" x14ac:dyDescent="0.25">
      <c r="A13" s="109"/>
      <c r="B13" s="110"/>
      <c r="C13" s="109"/>
      <c r="D13" s="126">
        <v>46041</v>
      </c>
      <c r="E13" s="109">
        <v>94480</v>
      </c>
      <c r="F13" s="109" t="s">
        <v>460</v>
      </c>
      <c r="G13" s="109">
        <v>1</v>
      </c>
      <c r="H13" s="109">
        <v>57804</v>
      </c>
      <c r="I13" s="109" t="s">
        <v>461</v>
      </c>
      <c r="J13" s="109" t="s">
        <v>106</v>
      </c>
      <c r="K13" s="109">
        <v>1</v>
      </c>
      <c r="L13" s="109">
        <v>10106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10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</row>
    <row r="14" spans="1:80" s="130" customFormat="1" x14ac:dyDescent="0.25">
      <c r="A14" s="127" t="s">
        <v>426</v>
      </c>
      <c r="B14" s="128"/>
      <c r="C14" s="127" t="s">
        <v>462</v>
      </c>
      <c r="D14" s="129">
        <v>46041</v>
      </c>
      <c r="E14" s="127">
        <v>94606</v>
      </c>
      <c r="F14" s="127" t="s">
        <v>419</v>
      </c>
      <c r="G14" s="127">
        <v>2</v>
      </c>
      <c r="H14" s="127">
        <v>57717</v>
      </c>
      <c r="I14" s="127" t="s">
        <v>420</v>
      </c>
      <c r="J14" s="127" t="s">
        <v>103</v>
      </c>
      <c r="K14" s="127">
        <v>1</v>
      </c>
      <c r="L14" s="127">
        <v>10107</v>
      </c>
      <c r="M14" s="127"/>
      <c r="N14" s="127">
        <v>5</v>
      </c>
      <c r="O14" s="127">
        <v>4</v>
      </c>
      <c r="P14" s="127">
        <v>5</v>
      </c>
      <c r="Q14" s="127">
        <v>5</v>
      </c>
      <c r="R14" s="127"/>
      <c r="S14" s="127"/>
      <c r="T14" s="127"/>
      <c r="U14" s="127"/>
      <c r="V14" s="128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</row>
    <row r="15" spans="1:80" s="49" customFormat="1" x14ac:dyDescent="0.25">
      <c r="A15" s="46" t="s">
        <v>426</v>
      </c>
      <c r="B15" s="64"/>
      <c r="C15" s="46">
        <v>4731301003</v>
      </c>
      <c r="D15" s="47">
        <v>46041</v>
      </c>
      <c r="E15" s="46">
        <v>94630</v>
      </c>
      <c r="F15" s="46" t="s">
        <v>121</v>
      </c>
      <c r="G15" s="46">
        <v>1</v>
      </c>
      <c r="H15" s="46">
        <v>57883</v>
      </c>
      <c r="I15" s="46" t="s">
        <v>427</v>
      </c>
      <c r="J15" s="46" t="s">
        <v>103</v>
      </c>
      <c r="K15" s="46">
        <v>3</v>
      </c>
      <c r="L15" s="46">
        <v>10107</v>
      </c>
      <c r="M15" s="48">
        <v>0.70138888888888884</v>
      </c>
      <c r="N15" s="46">
        <v>5</v>
      </c>
      <c r="O15" s="46">
        <v>3</v>
      </c>
      <c r="P15" s="46">
        <v>2</v>
      </c>
      <c r="Q15" s="46">
        <v>5</v>
      </c>
      <c r="R15" s="46" t="s">
        <v>463</v>
      </c>
      <c r="S15" s="46"/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421</v>
      </c>
      <c r="B16" s="64"/>
      <c r="C16" s="46"/>
      <c r="D16" s="47">
        <v>46041</v>
      </c>
      <c r="E16" s="46">
        <v>94763</v>
      </c>
      <c r="F16" s="46" t="s">
        <v>464</v>
      </c>
      <c r="G16" s="46">
        <v>1</v>
      </c>
      <c r="H16" s="46">
        <v>57968</v>
      </c>
      <c r="I16" s="46" t="s">
        <v>465</v>
      </c>
      <c r="J16" s="46" t="s">
        <v>99</v>
      </c>
      <c r="K16" s="46">
        <v>1</v>
      </c>
      <c r="L16" s="46">
        <v>10106</v>
      </c>
      <c r="M16" s="48">
        <v>0.66319444444444442</v>
      </c>
      <c r="N16" s="46">
        <v>50</v>
      </c>
      <c r="O16" s="46">
        <v>16</v>
      </c>
      <c r="P16" s="46"/>
      <c r="Q16" s="46"/>
      <c r="R16" s="46" t="s">
        <v>466</v>
      </c>
      <c r="S16" s="48">
        <v>0.64722222222222225</v>
      </c>
      <c r="T16" s="46"/>
      <c r="U16" s="46"/>
      <c r="V16" s="64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108" customFormat="1" x14ac:dyDescent="0.25">
      <c r="A17" s="109"/>
      <c r="B17" s="110"/>
      <c r="C17" s="109"/>
      <c r="D17" s="126">
        <v>46041</v>
      </c>
      <c r="E17" s="109">
        <v>94770</v>
      </c>
      <c r="F17" s="109" t="s">
        <v>256</v>
      </c>
      <c r="G17" s="109">
        <v>1</v>
      </c>
      <c r="H17" s="109">
        <v>57993</v>
      </c>
      <c r="I17" s="109" t="s">
        <v>467</v>
      </c>
      <c r="J17" s="109" t="s">
        <v>127</v>
      </c>
      <c r="K17" s="109">
        <v>2</v>
      </c>
      <c r="L17" s="109">
        <v>10106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10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</row>
    <row r="18" spans="1:77" s="49" customFormat="1" x14ac:dyDescent="0.25">
      <c r="A18" s="46" t="s">
        <v>421</v>
      </c>
      <c r="B18" s="64"/>
      <c r="C18" s="46">
        <v>4739201001</v>
      </c>
      <c r="D18" s="46"/>
      <c r="E18" s="46"/>
      <c r="F18" s="46"/>
      <c r="G18" s="46">
        <v>1</v>
      </c>
      <c r="H18" s="46">
        <v>57651</v>
      </c>
      <c r="I18" s="46" t="s">
        <v>468</v>
      </c>
      <c r="J18" s="46"/>
      <c r="K18" s="46"/>
      <c r="L18" s="46"/>
      <c r="M18" s="46"/>
      <c r="N18" s="46">
        <v>50</v>
      </c>
      <c r="O18" s="46">
        <v>47</v>
      </c>
      <c r="P18" s="46"/>
      <c r="Q18" s="46"/>
      <c r="R18" s="46"/>
      <c r="S18" s="46"/>
      <c r="T18" s="46"/>
      <c r="U18" s="46"/>
      <c r="V18" s="64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7" s="49" customFormat="1" x14ac:dyDescent="0.25">
      <c r="A19" s="46" t="s">
        <v>421</v>
      </c>
      <c r="B19" s="64"/>
      <c r="C19" s="46">
        <v>4733401002</v>
      </c>
      <c r="D19" s="47">
        <v>46050</v>
      </c>
      <c r="E19" s="46">
        <v>91608</v>
      </c>
      <c r="F19" s="46" t="s">
        <v>397</v>
      </c>
      <c r="G19" s="46">
        <v>1</v>
      </c>
      <c r="H19" s="46">
        <v>54897</v>
      </c>
      <c r="I19" s="46" t="s">
        <v>443</v>
      </c>
      <c r="J19" s="46" t="s">
        <v>399</v>
      </c>
      <c r="K19" s="46">
        <v>13</v>
      </c>
      <c r="L19" s="46">
        <v>10103</v>
      </c>
      <c r="M19" s="46" t="s">
        <v>469</v>
      </c>
      <c r="N19" s="46">
        <v>33</v>
      </c>
      <c r="O19" s="46">
        <v>11</v>
      </c>
      <c r="P19" s="46">
        <v>50</v>
      </c>
      <c r="Q19" s="46">
        <v>50</v>
      </c>
      <c r="R19" s="46"/>
      <c r="S19" s="48">
        <v>0.42222222222222222</v>
      </c>
      <c r="T19" s="46"/>
      <c r="U19" s="46"/>
      <c r="V19" s="64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</row>
    <row r="20" spans="1:77" s="49" customFormat="1" x14ac:dyDescent="0.25">
      <c r="A20" s="46" t="s">
        <v>421</v>
      </c>
      <c r="B20" s="64"/>
      <c r="C20" s="46">
        <v>4733501002</v>
      </c>
      <c r="D20" s="47">
        <v>46050</v>
      </c>
      <c r="E20" s="46">
        <v>91578</v>
      </c>
      <c r="F20" s="46" t="s">
        <v>397</v>
      </c>
      <c r="G20" s="46">
        <v>1</v>
      </c>
      <c r="H20" s="46">
        <v>54896</v>
      </c>
      <c r="I20" s="46" t="s">
        <v>398</v>
      </c>
      <c r="J20" s="46" t="s">
        <v>399</v>
      </c>
      <c r="K20" s="46">
        <v>15</v>
      </c>
      <c r="L20" s="46">
        <v>10103</v>
      </c>
      <c r="M20" s="46" t="s">
        <v>470</v>
      </c>
      <c r="N20" s="46">
        <v>25</v>
      </c>
      <c r="O20" s="46">
        <v>25</v>
      </c>
      <c r="P20" s="46">
        <v>50</v>
      </c>
      <c r="Q20" s="46">
        <v>50</v>
      </c>
      <c r="R20" s="46"/>
      <c r="S20" s="48">
        <v>0.44444444444444442</v>
      </c>
      <c r="T20" s="46"/>
      <c r="U20" s="46"/>
      <c r="V20" s="64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</row>
    <row r="21" spans="1:77" s="49" customFormat="1" x14ac:dyDescent="0.25">
      <c r="A21" s="46" t="s">
        <v>421</v>
      </c>
      <c r="B21" s="64"/>
      <c r="C21" s="46">
        <v>4437601008</v>
      </c>
      <c r="D21" s="47">
        <v>46045</v>
      </c>
      <c r="E21" s="46">
        <v>90527</v>
      </c>
      <c r="F21" s="46" t="s">
        <v>271</v>
      </c>
      <c r="G21" s="46">
        <v>7</v>
      </c>
      <c r="H21" s="46">
        <v>17851</v>
      </c>
      <c r="I21" s="46" t="s">
        <v>471</v>
      </c>
      <c r="J21" s="46" t="s">
        <v>99</v>
      </c>
      <c r="K21" s="46">
        <v>33</v>
      </c>
      <c r="L21" s="46">
        <v>10108</v>
      </c>
      <c r="M21" s="46" t="s">
        <v>472</v>
      </c>
      <c r="N21" s="46">
        <v>39</v>
      </c>
      <c r="O21" s="46">
        <v>39</v>
      </c>
      <c r="P21" s="46">
        <v>48</v>
      </c>
      <c r="Q21" s="46">
        <v>46</v>
      </c>
      <c r="R21" s="46"/>
      <c r="S21" s="46"/>
      <c r="T21" s="46">
        <v>30</v>
      </c>
      <c r="U21" s="46">
        <v>30</v>
      </c>
      <c r="V21" s="64">
        <v>49</v>
      </c>
      <c r="W21" s="46">
        <v>46</v>
      </c>
      <c r="X21" s="46"/>
      <c r="Y21" s="46"/>
      <c r="Z21" s="46">
        <v>32</v>
      </c>
      <c r="AA21" s="46">
        <v>32</v>
      </c>
      <c r="AB21" s="46">
        <v>30</v>
      </c>
      <c r="AC21" s="46">
        <v>41</v>
      </c>
      <c r="AD21" s="46"/>
      <c r="AE21" s="46"/>
      <c r="AF21" s="46">
        <v>40</v>
      </c>
      <c r="AG21" s="46">
        <v>40</v>
      </c>
      <c r="AH21" s="46">
        <v>50</v>
      </c>
      <c r="AI21" s="46">
        <v>48</v>
      </c>
      <c r="AJ21" s="46"/>
      <c r="AK21" s="46"/>
      <c r="AL21" s="46">
        <v>41</v>
      </c>
      <c r="AM21" s="46">
        <v>41</v>
      </c>
      <c r="AN21" s="46">
        <v>28</v>
      </c>
      <c r="AO21" s="46">
        <v>26</v>
      </c>
      <c r="AP21" s="46"/>
      <c r="AQ21" s="46"/>
      <c r="AR21" s="46">
        <v>27</v>
      </c>
      <c r="AS21" s="46">
        <v>27</v>
      </c>
      <c r="AT21" s="46">
        <v>23</v>
      </c>
      <c r="AU21" s="46">
        <v>49</v>
      </c>
      <c r="AV21" s="46"/>
      <c r="AW21" s="46"/>
      <c r="AX21" s="46">
        <v>30</v>
      </c>
      <c r="AY21" s="46">
        <v>30</v>
      </c>
      <c r="AZ21" s="46">
        <v>31</v>
      </c>
      <c r="BA21" s="46">
        <v>39</v>
      </c>
      <c r="BB21" s="46"/>
      <c r="BC21" s="48">
        <v>0.55277777777777781</v>
      </c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7" s="49" customFormat="1" x14ac:dyDescent="0.25">
      <c r="A22" s="46" t="s">
        <v>421</v>
      </c>
      <c r="B22" s="64"/>
      <c r="C22" s="46">
        <v>4437501008</v>
      </c>
      <c r="D22" s="47">
        <v>46045</v>
      </c>
      <c r="E22" s="46">
        <v>90525</v>
      </c>
      <c r="F22" s="46" t="s">
        <v>271</v>
      </c>
      <c r="G22" s="46">
        <v>8</v>
      </c>
      <c r="H22" s="46">
        <v>17851</v>
      </c>
      <c r="I22" s="46" t="s">
        <v>471</v>
      </c>
      <c r="J22" s="46" t="s">
        <v>99</v>
      </c>
      <c r="K22" s="46">
        <v>33</v>
      </c>
      <c r="L22" s="46">
        <v>10108</v>
      </c>
      <c r="M22" s="48">
        <v>0.4236111111111111</v>
      </c>
      <c r="N22" s="46">
        <v>25</v>
      </c>
      <c r="O22" s="46">
        <v>25</v>
      </c>
      <c r="P22" s="46">
        <v>48</v>
      </c>
      <c r="Q22" s="46">
        <v>44</v>
      </c>
      <c r="R22" s="46"/>
      <c r="S22" s="46"/>
      <c r="T22" s="46">
        <v>18</v>
      </c>
      <c r="U22" s="46">
        <v>18</v>
      </c>
      <c r="V22" s="64">
        <v>19</v>
      </c>
      <c r="W22" s="46">
        <v>47</v>
      </c>
      <c r="X22" s="46"/>
      <c r="Y22" s="46"/>
      <c r="Z22" s="46">
        <v>25</v>
      </c>
      <c r="AA22" s="46">
        <v>25</v>
      </c>
      <c r="AB22" s="46">
        <v>10</v>
      </c>
      <c r="AC22" s="46">
        <v>50</v>
      </c>
      <c r="AD22" s="46"/>
      <c r="AE22" s="46"/>
      <c r="AF22" s="46">
        <v>50</v>
      </c>
      <c r="AG22" s="46">
        <v>50</v>
      </c>
      <c r="AH22" s="46">
        <v>28</v>
      </c>
      <c r="AI22" s="46">
        <v>50</v>
      </c>
      <c r="AJ22" s="46"/>
      <c r="AK22" s="46"/>
      <c r="AL22" s="46">
        <v>50</v>
      </c>
      <c r="AM22" s="46">
        <v>50</v>
      </c>
      <c r="AN22" s="46">
        <v>38</v>
      </c>
      <c r="AO22" s="46">
        <v>49</v>
      </c>
      <c r="AP22" s="46"/>
      <c r="AQ22" s="46"/>
      <c r="AR22" s="46">
        <v>31</v>
      </c>
      <c r="AS22" s="46">
        <v>31</v>
      </c>
      <c r="AT22" s="46">
        <v>40</v>
      </c>
      <c r="AU22" s="46">
        <v>12</v>
      </c>
      <c r="AV22" s="46"/>
      <c r="AW22" s="46"/>
      <c r="AX22" s="46">
        <v>38</v>
      </c>
      <c r="AY22" s="46">
        <v>38</v>
      </c>
      <c r="AZ22" s="46">
        <v>20</v>
      </c>
      <c r="BA22" s="46">
        <v>33</v>
      </c>
      <c r="BB22" s="46"/>
      <c r="BC22" s="46"/>
      <c r="BD22" s="46">
        <v>22</v>
      </c>
      <c r="BE22" s="46">
        <v>22</v>
      </c>
      <c r="BF22" s="46">
        <v>40</v>
      </c>
      <c r="BG22" s="46">
        <v>38</v>
      </c>
      <c r="BH22" s="46"/>
      <c r="BI22" s="48">
        <v>0.59930555555555554</v>
      </c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</row>
    <row r="23" spans="1:77" x14ac:dyDescent="0.25">
      <c r="A23" s="62" t="s">
        <v>426</v>
      </c>
      <c r="C23" s="4">
        <v>4741001001</v>
      </c>
      <c r="D23" s="50">
        <v>46042</v>
      </c>
      <c r="E23" s="4">
        <v>94715</v>
      </c>
      <c r="F23" s="4" t="s">
        <v>473</v>
      </c>
      <c r="G23" s="4">
        <v>5</v>
      </c>
      <c r="H23" s="4">
        <v>57585</v>
      </c>
      <c r="I23" s="4" t="s">
        <v>474</v>
      </c>
      <c r="J23" s="4" t="s">
        <v>120</v>
      </c>
      <c r="K23" s="4">
        <v>1</v>
      </c>
      <c r="L23" s="4">
        <v>10102</v>
      </c>
      <c r="M23" s="125">
        <v>0.60763888888888884</v>
      </c>
      <c r="V23" s="21"/>
    </row>
    <row r="24" spans="1:77" s="49" customFormat="1" x14ac:dyDescent="0.25">
      <c r="A24" s="46" t="s">
        <v>421</v>
      </c>
      <c r="B24" s="64"/>
      <c r="C24" s="46">
        <v>4719001003</v>
      </c>
      <c r="D24" s="47">
        <v>46041</v>
      </c>
      <c r="E24" s="46">
        <v>94323</v>
      </c>
      <c r="F24" s="46" t="s">
        <v>265</v>
      </c>
      <c r="G24" s="46">
        <v>2</v>
      </c>
      <c r="H24" s="46">
        <v>51357</v>
      </c>
      <c r="I24" s="46" t="s">
        <v>294</v>
      </c>
      <c r="J24" s="46" t="s">
        <v>120</v>
      </c>
      <c r="K24" s="46">
        <v>6</v>
      </c>
      <c r="L24" s="46">
        <v>10102</v>
      </c>
      <c r="M24" s="46"/>
      <c r="N24" s="46"/>
      <c r="O24" s="46"/>
      <c r="P24" s="46"/>
      <c r="Q24" s="46"/>
      <c r="R24" s="46" t="s">
        <v>475</v>
      </c>
      <c r="S24" s="46"/>
      <c r="T24" s="46"/>
      <c r="U24" s="46"/>
      <c r="V24" s="64"/>
      <c r="W24" s="46"/>
      <c r="X24" s="46" t="s">
        <v>476</v>
      </c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</row>
    <row r="25" spans="1:77" s="49" customFormat="1" x14ac:dyDescent="0.25">
      <c r="A25" s="46" t="s">
        <v>421</v>
      </c>
      <c r="B25" s="64"/>
      <c r="C25" s="46">
        <v>4712401001</v>
      </c>
      <c r="D25" s="47">
        <v>46041</v>
      </c>
      <c r="E25" s="46">
        <v>94328</v>
      </c>
      <c r="F25" s="46" t="s">
        <v>265</v>
      </c>
      <c r="G25" s="46">
        <v>2</v>
      </c>
      <c r="H25" s="46">
        <v>53419</v>
      </c>
      <c r="I25" s="46" t="s">
        <v>266</v>
      </c>
      <c r="J25" s="46" t="s">
        <v>120</v>
      </c>
      <c r="K25" s="46">
        <v>5</v>
      </c>
      <c r="L25" s="46">
        <v>10102</v>
      </c>
      <c r="M25" s="46"/>
      <c r="N25" s="46"/>
      <c r="O25" s="46"/>
      <c r="P25" s="46"/>
      <c r="Q25" s="46"/>
      <c r="R25" s="46" t="s">
        <v>477</v>
      </c>
      <c r="S25" s="46"/>
      <c r="T25" s="46"/>
      <c r="U25" s="46"/>
      <c r="V25" s="64"/>
      <c r="W25" s="46"/>
      <c r="X25" s="46" t="s">
        <v>478</v>
      </c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</row>
    <row r="26" spans="1:77" s="49" customFormat="1" x14ac:dyDescent="0.25">
      <c r="A26" s="46" t="s">
        <v>421</v>
      </c>
      <c r="B26" s="64"/>
      <c r="C26" s="46">
        <v>4714801001</v>
      </c>
      <c r="D26" s="47">
        <v>46041</v>
      </c>
      <c r="E26" s="46">
        <v>93548</v>
      </c>
      <c r="F26" s="46" t="s">
        <v>118</v>
      </c>
      <c r="G26" s="46">
        <v>2</v>
      </c>
      <c r="H26" s="46">
        <v>38992</v>
      </c>
      <c r="I26" s="46" t="s">
        <v>119</v>
      </c>
      <c r="J26" s="46" t="s">
        <v>353</v>
      </c>
      <c r="K26" s="46">
        <v>1</v>
      </c>
      <c r="L26" s="46">
        <v>10104</v>
      </c>
      <c r="M26" s="46"/>
      <c r="N26" s="46"/>
      <c r="O26" s="46"/>
      <c r="P26" s="46"/>
      <c r="Q26" s="46"/>
      <c r="R26" s="46" t="s">
        <v>479</v>
      </c>
      <c r="S26" s="46"/>
      <c r="T26" s="46"/>
      <c r="U26" s="46"/>
      <c r="V26" s="64"/>
      <c r="W26" s="46"/>
      <c r="X26" s="46" t="s">
        <v>480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s="63" customFormat="1" x14ac:dyDescent="0.25">
      <c r="A30" s="62"/>
      <c r="B30" s="2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2"/>
      <c r="V30" s="68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</row>
    <row r="31" spans="1:77" s="61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0"/>
      <c r="V31" s="69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</row>
    <row r="32" spans="1:77" x14ac:dyDescent="0.25">
      <c r="A32" s="62"/>
      <c r="V32" s="21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B45" s="11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spans="1:22" x14ac:dyDescent="0.25">
      <c r="A46" s="62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</sheetData>
  <mergeCells count="2">
    <mergeCell ref="A1:E1"/>
    <mergeCell ref="G1:H1"/>
  </mergeCells>
  <conditionalFormatting sqref="A3:A50">
    <cfRule type="containsText" dxfId="39" priority="5" operator="containsText" text="PEDRO">
      <formula>NOT(ISERROR(SEARCH("PEDRO",A3)))</formula>
    </cfRule>
    <cfRule type="containsText" dxfId="38" priority="6" operator="containsText" text="YGOR">
      <formula>NOT(ISERROR(SEARCH("YGOR",A3)))</formula>
    </cfRule>
    <cfRule type="containsText" dxfId="37" priority="7" operator="containsText" text="ALEXANDRE">
      <formula>NOT(ISERROR(SEARCH("ALEXANDRE",A3)))</formula>
    </cfRule>
    <cfRule type="containsText" dxfId="36" priority="8" operator="containsText" text="LILIAN">
      <formula>NOT(ISERROR(SEARCH("LILIAN",A3)))</formula>
    </cfRule>
  </conditionalFormatting>
  <conditionalFormatting sqref="J1:J1048576">
    <cfRule type="containsText" dxfId="35" priority="9" operator="containsText" text="ALFA TRANSPORTES">
      <formula>NOT(ISERROR(SEARCH("ALFA TRANSPORTES",J1)))</formula>
    </cfRule>
    <cfRule type="containsText" dxfId="34" priority="10" operator="containsText" text="NEW BIGTRANS">
      <formula>NOT(ISERROR(SEARCH("NEW BIGTRANS",J1)))</formula>
    </cfRule>
    <cfRule type="containsText" dxfId="33" priority="11" operator="containsText" text="EXPRESSO SAO MIGUEL">
      <formula>NOT(ISERROR(SEARCH("EXPRESSO SAO MIGUEL",J1)))</formula>
    </cfRule>
    <cfRule type="containsText" dxfId="32" priority="12" operator="containsText" text="RODONAVES">
      <formula>NOT(ISERROR(SEARCH("RODONAVES",J1)))</formula>
    </cfRule>
  </conditionalFormatting>
  <dataValidations count="1">
    <dataValidation type="list" allowBlank="1" showInputMessage="1" showErrorMessage="1" sqref="A3:A50" xr:uid="{4DBEC583-F368-4675-AFC6-EE716187B4CA}">
      <formula1>$CB$5:$CB$8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E955-E6D0-4094-8A29-994155EBBD89}">
  <sheetPr>
    <tabColor rgb="FFFF0000"/>
  </sheetPr>
  <dimension ref="A1:CB51"/>
  <sheetViews>
    <sheetView workbookViewId="0">
      <pane ySplit="2" topLeftCell="A13" activePane="bottomLeft" state="frozen"/>
      <selection pane="bottomLeft" activeCell="A17" sqref="A17:XFD17"/>
    </sheetView>
  </sheetViews>
  <sheetFormatPr defaultRowHeight="15" x14ac:dyDescent="0.25"/>
  <cols>
    <col min="1" max="1" width="11.140625" style="4" customWidth="1"/>
    <col min="2" max="2" width="23.7109375" style="21" bestFit="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23.71093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49" customFormat="1" x14ac:dyDescent="0.25">
      <c r="A3" s="46" t="s">
        <v>421</v>
      </c>
      <c r="B3" s="64"/>
      <c r="C3" s="46">
        <v>4566001003</v>
      </c>
      <c r="D3" s="47">
        <v>46042</v>
      </c>
      <c r="E3" s="46">
        <v>88694</v>
      </c>
      <c r="F3" s="46" t="s">
        <v>481</v>
      </c>
      <c r="G3" s="46">
        <v>1</v>
      </c>
      <c r="H3" s="46">
        <v>57952</v>
      </c>
      <c r="I3" s="46" t="s">
        <v>482</v>
      </c>
      <c r="J3" s="46" t="s">
        <v>483</v>
      </c>
      <c r="K3" s="46">
        <v>4</v>
      </c>
      <c r="L3" s="46">
        <v>10110</v>
      </c>
      <c r="M3" s="48">
        <v>0.38194444444444442</v>
      </c>
      <c r="N3" s="46">
        <v>30</v>
      </c>
      <c r="O3" s="46">
        <v>16</v>
      </c>
      <c r="P3" s="46">
        <v>28</v>
      </c>
      <c r="Q3" s="46">
        <v>28</v>
      </c>
      <c r="R3" s="46" t="s">
        <v>484</v>
      </c>
      <c r="S3" s="48">
        <v>0.61458333333333337</v>
      </c>
      <c r="T3" s="46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</row>
    <row r="4" spans="1:80" s="49" customFormat="1" x14ac:dyDescent="0.25">
      <c r="A4" s="46" t="s">
        <v>421</v>
      </c>
      <c r="B4" s="64"/>
      <c r="C4" s="46">
        <v>4508701002</v>
      </c>
      <c r="D4" s="47">
        <v>46042</v>
      </c>
      <c r="E4" s="46">
        <v>92206</v>
      </c>
      <c r="F4" s="46" t="s">
        <v>128</v>
      </c>
      <c r="G4" s="46">
        <v>1</v>
      </c>
      <c r="H4" s="46">
        <v>52057</v>
      </c>
      <c r="I4" s="46" t="s">
        <v>418</v>
      </c>
      <c r="J4" s="46" t="s">
        <v>106</v>
      </c>
      <c r="K4" s="46">
        <v>2</v>
      </c>
      <c r="L4" s="46">
        <v>10106</v>
      </c>
      <c r="M4" s="46"/>
      <c r="N4" s="46"/>
      <c r="O4" s="46"/>
      <c r="P4" s="46"/>
      <c r="Q4" s="46"/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</row>
    <row r="5" spans="1:80" s="49" customFormat="1" x14ac:dyDescent="0.25">
      <c r="A5" s="46" t="s">
        <v>426</v>
      </c>
      <c r="B5" s="64"/>
      <c r="C5" s="46">
        <v>4725401001</v>
      </c>
      <c r="D5" s="47">
        <v>46042</v>
      </c>
      <c r="E5" s="46">
        <v>93279</v>
      </c>
      <c r="F5" s="46" t="s">
        <v>289</v>
      </c>
      <c r="G5" s="46">
        <v>1</v>
      </c>
      <c r="H5" s="46">
        <v>57199</v>
      </c>
      <c r="I5" s="46" t="s">
        <v>290</v>
      </c>
      <c r="J5" s="46" t="s">
        <v>120</v>
      </c>
      <c r="K5" s="46">
        <v>1</v>
      </c>
      <c r="L5" s="46">
        <v>10102</v>
      </c>
      <c r="M5" s="48">
        <v>0.3923611111111111</v>
      </c>
      <c r="N5" s="46">
        <v>2</v>
      </c>
      <c r="O5" s="46">
        <v>2</v>
      </c>
      <c r="P5" s="46">
        <v>3</v>
      </c>
      <c r="Q5" s="46">
        <v>3</v>
      </c>
      <c r="R5" s="46" t="s">
        <v>485</v>
      </c>
      <c r="S5" s="46"/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CB5" s="49" t="s">
        <v>421</v>
      </c>
    </row>
    <row r="6" spans="1:80" s="49" customFormat="1" x14ac:dyDescent="0.25">
      <c r="A6" s="46" t="s">
        <v>426</v>
      </c>
      <c r="B6" s="64"/>
      <c r="C6" s="46">
        <v>4740201001</v>
      </c>
      <c r="D6" s="47">
        <v>46042</v>
      </c>
      <c r="E6" s="46">
        <v>93734</v>
      </c>
      <c r="F6" s="46" t="s">
        <v>486</v>
      </c>
      <c r="G6" s="46">
        <v>1</v>
      </c>
      <c r="H6" s="46">
        <v>54333</v>
      </c>
      <c r="I6" s="46" t="s">
        <v>487</v>
      </c>
      <c r="J6" s="46" t="s">
        <v>103</v>
      </c>
      <c r="K6" s="46">
        <v>9</v>
      </c>
      <c r="L6" s="46">
        <v>10107</v>
      </c>
      <c r="M6" s="46"/>
      <c r="N6" s="46"/>
      <c r="O6" s="46"/>
      <c r="P6" s="46"/>
      <c r="Q6" s="46"/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CB6" s="49" t="s">
        <v>426</v>
      </c>
    </row>
    <row r="7" spans="1:80" s="49" customFormat="1" x14ac:dyDescent="0.25">
      <c r="A7" s="46" t="s">
        <v>428</v>
      </c>
      <c r="B7" s="64"/>
      <c r="C7" s="46">
        <v>4687001002</v>
      </c>
      <c r="D7" s="47">
        <v>46042</v>
      </c>
      <c r="E7" s="46">
        <v>94118</v>
      </c>
      <c r="F7" s="46" t="s">
        <v>141</v>
      </c>
      <c r="G7" s="46">
        <v>1</v>
      </c>
      <c r="H7" s="46">
        <v>56929</v>
      </c>
      <c r="I7" s="46" t="s">
        <v>142</v>
      </c>
      <c r="J7" s="46" t="s">
        <v>120</v>
      </c>
      <c r="K7" s="46">
        <v>2</v>
      </c>
      <c r="L7" s="46">
        <v>10102</v>
      </c>
      <c r="M7" s="46"/>
      <c r="N7" s="46">
        <v>49</v>
      </c>
      <c r="O7" s="46">
        <v>49</v>
      </c>
      <c r="P7" s="46">
        <v>19</v>
      </c>
      <c r="Q7" s="46">
        <v>19</v>
      </c>
      <c r="R7" s="46"/>
      <c r="S7" s="46"/>
      <c r="T7" s="46"/>
      <c r="U7" s="46"/>
      <c r="V7" s="92"/>
      <c r="W7" s="93"/>
      <c r="X7" s="93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CB7" s="49" t="s">
        <v>428</v>
      </c>
    </row>
    <row r="8" spans="1:80" s="49" customFormat="1" x14ac:dyDescent="0.25">
      <c r="A8" s="46" t="s">
        <v>421</v>
      </c>
      <c r="B8" s="64"/>
      <c r="C8" s="46">
        <v>4740301001</v>
      </c>
      <c r="D8" s="47">
        <v>46042</v>
      </c>
      <c r="E8" s="46">
        <v>94140</v>
      </c>
      <c r="F8" s="46" t="s">
        <v>488</v>
      </c>
      <c r="G8" s="46">
        <v>6</v>
      </c>
      <c r="H8" s="46">
        <v>33702</v>
      </c>
      <c r="I8" s="46" t="s">
        <v>489</v>
      </c>
      <c r="J8" s="46" t="s">
        <v>134</v>
      </c>
      <c r="K8" s="46">
        <v>1</v>
      </c>
      <c r="L8" s="46">
        <v>10105</v>
      </c>
      <c r="M8" s="48">
        <v>0.5625</v>
      </c>
      <c r="N8" s="46">
        <v>31</v>
      </c>
      <c r="O8" s="46">
        <v>11</v>
      </c>
      <c r="P8" s="46">
        <v>22</v>
      </c>
      <c r="Q8" s="46">
        <v>19</v>
      </c>
      <c r="R8" s="46"/>
      <c r="S8" s="46"/>
      <c r="T8" s="46">
        <v>10</v>
      </c>
      <c r="U8" s="46">
        <v>25</v>
      </c>
      <c r="V8" s="92">
        <v>10</v>
      </c>
      <c r="W8" s="93">
        <v>4</v>
      </c>
      <c r="X8" s="93"/>
      <c r="Y8" s="46"/>
      <c r="Z8" s="46">
        <v>32</v>
      </c>
      <c r="AA8" s="46">
        <v>23</v>
      </c>
      <c r="AB8" s="46">
        <v>40</v>
      </c>
      <c r="AC8" s="46">
        <v>36</v>
      </c>
      <c r="AD8" s="46"/>
      <c r="AE8" s="46"/>
      <c r="AF8" s="46">
        <v>10</v>
      </c>
      <c r="AG8" s="46">
        <v>10</v>
      </c>
      <c r="AH8" s="46">
        <v>32</v>
      </c>
      <c r="AI8" s="46">
        <v>50</v>
      </c>
      <c r="AJ8" s="46"/>
      <c r="AK8" s="46"/>
      <c r="AL8" s="46">
        <v>10</v>
      </c>
      <c r="AM8" s="46">
        <v>18</v>
      </c>
      <c r="AN8" s="46">
        <v>18</v>
      </c>
      <c r="AO8" s="46">
        <v>50</v>
      </c>
      <c r="AP8" s="46"/>
      <c r="AQ8" s="46"/>
      <c r="AR8" s="46">
        <v>50</v>
      </c>
      <c r="AS8" s="46">
        <v>46</v>
      </c>
      <c r="AT8" s="46">
        <v>44</v>
      </c>
      <c r="AU8" s="46">
        <v>50</v>
      </c>
      <c r="AV8" s="46"/>
      <c r="AW8" s="48">
        <v>0.62222222222222223</v>
      </c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 t="s">
        <v>421</v>
      </c>
      <c r="B9" s="64"/>
      <c r="C9" s="46">
        <v>4730201001</v>
      </c>
      <c r="D9" s="47">
        <v>46042</v>
      </c>
      <c r="E9" s="46">
        <v>94271</v>
      </c>
      <c r="F9" s="46" t="s">
        <v>348</v>
      </c>
      <c r="G9" s="46">
        <v>1</v>
      </c>
      <c r="H9" s="46">
        <v>48509</v>
      </c>
      <c r="I9" s="46" t="s">
        <v>349</v>
      </c>
      <c r="J9" s="46" t="s">
        <v>350</v>
      </c>
      <c r="K9" s="46">
        <v>1</v>
      </c>
      <c r="L9" s="46">
        <v>10108</v>
      </c>
      <c r="M9" s="48">
        <v>0.45833333333333331</v>
      </c>
      <c r="N9" s="46">
        <v>16</v>
      </c>
      <c r="O9" s="46">
        <v>10</v>
      </c>
      <c r="P9" s="46">
        <v>38</v>
      </c>
      <c r="Q9" s="46">
        <v>40</v>
      </c>
      <c r="R9" s="46" t="s">
        <v>490</v>
      </c>
      <c r="S9" s="48">
        <v>0.52777777777777779</v>
      </c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 t="s">
        <v>426</v>
      </c>
      <c r="B10" s="64"/>
      <c r="C10" s="46">
        <v>4740701001</v>
      </c>
      <c r="D10" s="47">
        <v>46042</v>
      </c>
      <c r="E10" s="46">
        <v>94310</v>
      </c>
      <c r="F10" s="46" t="s">
        <v>107</v>
      </c>
      <c r="G10" s="46">
        <v>2</v>
      </c>
      <c r="H10" s="46">
        <v>57733</v>
      </c>
      <c r="I10" s="46" t="s">
        <v>491</v>
      </c>
      <c r="J10" s="46" t="s">
        <v>103</v>
      </c>
      <c r="K10" s="46">
        <v>4</v>
      </c>
      <c r="L10" s="46">
        <v>10101</v>
      </c>
      <c r="M10" s="46"/>
      <c r="N10" s="46"/>
      <c r="O10" s="46"/>
      <c r="P10" s="46"/>
      <c r="Q10" s="46"/>
      <c r="R10" s="46"/>
      <c r="S10" s="46"/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426</v>
      </c>
      <c r="B11" s="64"/>
      <c r="C11" s="46">
        <v>4740901001</v>
      </c>
      <c r="D11" s="47">
        <v>46042</v>
      </c>
      <c r="E11" s="46">
        <v>94349</v>
      </c>
      <c r="F11" s="46" t="s">
        <v>107</v>
      </c>
      <c r="G11" s="46">
        <v>2</v>
      </c>
      <c r="H11" s="46">
        <v>57734</v>
      </c>
      <c r="I11" s="46" t="s">
        <v>492</v>
      </c>
      <c r="J11" s="46" t="s">
        <v>103</v>
      </c>
      <c r="K11" s="46">
        <v>4</v>
      </c>
      <c r="L11" s="46">
        <v>10101</v>
      </c>
      <c r="M11" s="46"/>
      <c r="N11" s="46"/>
      <c r="O11" s="46"/>
      <c r="P11" s="46"/>
      <c r="Q11" s="46"/>
      <c r="R11" s="46"/>
      <c r="S11" s="46"/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/>
      <c r="B12" s="64"/>
      <c r="C12" s="46">
        <v>4741301001</v>
      </c>
      <c r="D12" s="47">
        <v>46042</v>
      </c>
      <c r="E12" s="46">
        <v>94521</v>
      </c>
      <c r="F12" s="46" t="s">
        <v>195</v>
      </c>
      <c r="G12" s="46">
        <v>2</v>
      </c>
      <c r="H12" s="46">
        <v>57823</v>
      </c>
      <c r="I12" s="46" t="s">
        <v>196</v>
      </c>
      <c r="J12" s="46" t="s">
        <v>103</v>
      </c>
      <c r="K12" s="46">
        <v>1</v>
      </c>
      <c r="L12" s="46">
        <v>10104</v>
      </c>
      <c r="M12" s="46"/>
      <c r="N12" s="46"/>
      <c r="O12" s="46"/>
      <c r="P12" s="46"/>
      <c r="Q12" s="46"/>
      <c r="R12" s="46"/>
      <c r="S12" s="46"/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49" customFormat="1" x14ac:dyDescent="0.25">
      <c r="A13" s="46" t="s">
        <v>426</v>
      </c>
      <c r="B13" s="64"/>
      <c r="C13" s="46" t="s">
        <v>462</v>
      </c>
      <c r="D13" s="47">
        <v>46042</v>
      </c>
      <c r="E13" s="46">
        <v>94606</v>
      </c>
      <c r="F13" s="46" t="s">
        <v>419</v>
      </c>
      <c r="G13" s="46">
        <v>2</v>
      </c>
      <c r="H13" s="46">
        <v>57717</v>
      </c>
      <c r="I13" s="46" t="s">
        <v>420</v>
      </c>
      <c r="J13" s="46" t="s">
        <v>103</v>
      </c>
      <c r="K13" s="46">
        <v>1</v>
      </c>
      <c r="L13" s="46">
        <v>10107</v>
      </c>
      <c r="M13" s="46"/>
      <c r="N13" s="46"/>
      <c r="O13" s="46"/>
      <c r="P13" s="46"/>
      <c r="Q13" s="46"/>
      <c r="R13" s="46" t="s">
        <v>493</v>
      </c>
      <c r="S13" s="46"/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</row>
    <row r="14" spans="1:80" s="49" customFormat="1" x14ac:dyDescent="0.25">
      <c r="A14" s="46" t="s">
        <v>421</v>
      </c>
      <c r="B14" s="64"/>
      <c r="C14" s="46">
        <v>4744901002</v>
      </c>
      <c r="D14" s="47">
        <v>46042</v>
      </c>
      <c r="E14" s="46">
        <v>94649</v>
      </c>
      <c r="F14" s="46" t="s">
        <v>494</v>
      </c>
      <c r="G14" s="46">
        <v>1</v>
      </c>
      <c r="H14" s="46">
        <v>57938</v>
      </c>
      <c r="I14" s="46" t="s">
        <v>495</v>
      </c>
      <c r="J14" s="46" t="s">
        <v>103</v>
      </c>
      <c r="K14" s="46">
        <v>3</v>
      </c>
      <c r="L14" s="46">
        <v>10106</v>
      </c>
      <c r="M14" s="48">
        <v>0.64236111111111116</v>
      </c>
      <c r="N14" s="46"/>
      <c r="O14" s="46">
        <v>40</v>
      </c>
      <c r="P14" s="46">
        <v>50</v>
      </c>
      <c r="Q14" s="46">
        <v>50</v>
      </c>
      <c r="R14" s="46"/>
      <c r="S14" s="48">
        <v>0.70833333333333337</v>
      </c>
      <c r="T14" s="46"/>
      <c r="U14" s="46"/>
      <c r="V14" s="64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</row>
    <row r="15" spans="1:80" s="49" customFormat="1" x14ac:dyDescent="0.25">
      <c r="A15" s="46" t="s">
        <v>421</v>
      </c>
      <c r="B15" s="64"/>
      <c r="C15" s="46">
        <v>4744601001</v>
      </c>
      <c r="D15" s="47">
        <v>46042</v>
      </c>
      <c r="E15" s="46">
        <v>94781</v>
      </c>
      <c r="F15" s="46" t="s">
        <v>496</v>
      </c>
      <c r="G15" s="46">
        <v>1</v>
      </c>
      <c r="H15" s="46">
        <v>57951</v>
      </c>
      <c r="I15" s="46" t="s">
        <v>497</v>
      </c>
      <c r="J15" s="46" t="s">
        <v>103</v>
      </c>
      <c r="K15" s="46">
        <v>1</v>
      </c>
      <c r="L15" s="46">
        <v>10106</v>
      </c>
      <c r="M15" s="48">
        <v>0.61805555555555558</v>
      </c>
      <c r="N15" s="46">
        <v>32</v>
      </c>
      <c r="O15" s="46">
        <v>45</v>
      </c>
      <c r="P15" s="46">
        <v>50</v>
      </c>
      <c r="Q15" s="46">
        <v>50</v>
      </c>
      <c r="R15" s="46" t="s">
        <v>498</v>
      </c>
      <c r="S15" s="48">
        <v>0.19097222222222221</v>
      </c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421</v>
      </c>
      <c r="B16" s="64"/>
      <c r="C16" s="46">
        <v>4376901016</v>
      </c>
      <c r="D16" s="46"/>
      <c r="E16" s="46">
        <v>90524</v>
      </c>
      <c r="F16" s="46" t="s">
        <v>499</v>
      </c>
      <c r="G16" s="46">
        <v>8</v>
      </c>
      <c r="H16" s="46">
        <v>17851</v>
      </c>
      <c r="I16" s="46" t="s">
        <v>500</v>
      </c>
      <c r="J16" s="46"/>
      <c r="K16" s="46"/>
      <c r="L16" s="46"/>
      <c r="M16" s="48">
        <v>0.35416666666666669</v>
      </c>
      <c r="N16" s="46">
        <v>49</v>
      </c>
      <c r="O16" s="46">
        <v>49</v>
      </c>
      <c r="P16" s="46">
        <v>19</v>
      </c>
      <c r="Q16" s="46">
        <v>28</v>
      </c>
      <c r="R16" s="46"/>
      <c r="S16" s="46"/>
      <c r="T16" s="46">
        <v>50</v>
      </c>
      <c r="U16" s="46">
        <v>50</v>
      </c>
      <c r="V16" s="64">
        <v>50</v>
      </c>
      <c r="W16" s="46">
        <v>29</v>
      </c>
      <c r="X16" s="46"/>
      <c r="Y16" s="46"/>
      <c r="Z16" s="46">
        <v>50</v>
      </c>
      <c r="AA16" s="46">
        <v>50</v>
      </c>
      <c r="AB16" s="46">
        <v>49</v>
      </c>
      <c r="AC16" s="46">
        <v>50</v>
      </c>
      <c r="AD16" s="46"/>
      <c r="AE16" s="46"/>
      <c r="AF16" s="46">
        <v>32</v>
      </c>
      <c r="AG16" s="46">
        <v>32</v>
      </c>
      <c r="AH16" s="46">
        <v>12</v>
      </c>
      <c r="AI16" s="46">
        <v>48</v>
      </c>
      <c r="AJ16" s="46"/>
      <c r="AK16" s="46"/>
      <c r="AL16" s="46">
        <v>22</v>
      </c>
      <c r="AM16" s="46">
        <v>22</v>
      </c>
      <c r="AN16" s="46">
        <v>43</v>
      </c>
      <c r="AO16" s="46">
        <v>50</v>
      </c>
      <c r="AP16" s="46"/>
      <c r="AQ16" s="46"/>
      <c r="AR16" s="46">
        <v>23</v>
      </c>
      <c r="AS16" s="46">
        <v>23</v>
      </c>
      <c r="AT16" s="46">
        <v>45</v>
      </c>
      <c r="AU16" s="46">
        <v>47</v>
      </c>
      <c r="AV16" s="46"/>
      <c r="AW16" s="46"/>
      <c r="AX16" s="46">
        <v>37</v>
      </c>
      <c r="AY16" s="46">
        <v>37</v>
      </c>
      <c r="AZ16" s="46">
        <v>32</v>
      </c>
      <c r="BA16" s="46">
        <v>27</v>
      </c>
      <c r="BB16" s="46"/>
      <c r="BC16" s="48">
        <v>0.42708333333333331</v>
      </c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133" customFormat="1" x14ac:dyDescent="0.25">
      <c r="A17" s="127" t="s">
        <v>426</v>
      </c>
      <c r="B17" s="131"/>
      <c r="C17" s="132">
        <v>4741001001</v>
      </c>
      <c r="D17" s="132">
        <v>46042</v>
      </c>
      <c r="E17" s="132">
        <v>94715</v>
      </c>
      <c r="F17" s="132" t="s">
        <v>473</v>
      </c>
      <c r="G17" s="132">
        <v>5</v>
      </c>
      <c r="H17" s="132">
        <v>57585</v>
      </c>
      <c r="I17" s="132" t="s">
        <v>474</v>
      </c>
      <c r="J17" s="132" t="s">
        <v>120</v>
      </c>
      <c r="K17" s="132"/>
      <c r="L17" s="132"/>
      <c r="M17" s="134">
        <v>0.51111111111111107</v>
      </c>
      <c r="N17" s="132">
        <v>1</v>
      </c>
      <c r="O17" s="132">
        <v>2</v>
      </c>
      <c r="P17" s="132">
        <v>3</v>
      </c>
      <c r="Q17" s="132">
        <f>P17</f>
        <v>3</v>
      </c>
      <c r="R17" s="132" t="s">
        <v>501</v>
      </c>
      <c r="S17" s="134">
        <v>0.49305555555555558</v>
      </c>
      <c r="T17" s="132">
        <v>4</v>
      </c>
      <c r="U17" s="132">
        <v>4</v>
      </c>
      <c r="V17" s="131">
        <v>3</v>
      </c>
      <c r="W17" s="132">
        <f>V17</f>
        <v>3</v>
      </c>
      <c r="X17" s="132" t="s">
        <v>502</v>
      </c>
      <c r="Y17" s="134">
        <v>0.51111111111111107</v>
      </c>
      <c r="Z17" s="132">
        <v>6</v>
      </c>
      <c r="AA17" s="132">
        <v>2</v>
      </c>
      <c r="AB17" s="132">
        <v>5</v>
      </c>
      <c r="AC17" s="132">
        <f>AB17</f>
        <v>5</v>
      </c>
      <c r="AD17" s="132" t="s">
        <v>503</v>
      </c>
      <c r="AE17" s="134">
        <v>0.47013888888888888</v>
      </c>
      <c r="AF17" s="132">
        <v>4</v>
      </c>
      <c r="AG17" s="132">
        <v>2</v>
      </c>
      <c r="AH17" s="132">
        <v>2</v>
      </c>
      <c r="AI17" s="132">
        <v>2</v>
      </c>
      <c r="AJ17" s="132" t="s">
        <v>504</v>
      </c>
      <c r="AK17" s="134">
        <v>0.51736111111111116</v>
      </c>
      <c r="AL17" s="132">
        <v>5</v>
      </c>
      <c r="AM17" s="132">
        <v>3</v>
      </c>
      <c r="AN17" s="132">
        <v>2</v>
      </c>
      <c r="AO17" s="132">
        <f>AN17</f>
        <v>2</v>
      </c>
      <c r="AP17" s="132" t="s">
        <v>505</v>
      </c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</row>
    <row r="18" spans="1:77" s="49" customFormat="1" x14ac:dyDescent="0.25">
      <c r="A18" s="46" t="s">
        <v>426</v>
      </c>
      <c r="B18" s="64"/>
      <c r="C18" s="46">
        <v>4740001001</v>
      </c>
      <c r="D18" s="46"/>
      <c r="E18" s="46">
        <v>93304</v>
      </c>
      <c r="F18" s="46" t="s">
        <v>107</v>
      </c>
      <c r="G18" s="46">
        <v>2</v>
      </c>
      <c r="H18" s="46">
        <v>57141</v>
      </c>
      <c r="I18" s="46" t="s">
        <v>506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64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7" s="49" customFormat="1" x14ac:dyDescent="0.25">
      <c r="A19" s="46" t="s">
        <v>428</v>
      </c>
      <c r="B19" s="64"/>
      <c r="C19" s="46">
        <v>4743601003</v>
      </c>
      <c r="D19" s="47">
        <v>46044</v>
      </c>
      <c r="E19" s="46">
        <v>94770</v>
      </c>
      <c r="F19" s="46" t="s">
        <v>256</v>
      </c>
      <c r="G19" s="46">
        <v>1</v>
      </c>
      <c r="H19" s="46">
        <v>57993</v>
      </c>
      <c r="I19" s="46" t="s">
        <v>467</v>
      </c>
      <c r="J19" s="46" t="s">
        <v>127</v>
      </c>
      <c r="K19" s="46">
        <v>2</v>
      </c>
      <c r="L19" s="46">
        <v>10106</v>
      </c>
      <c r="M19" s="48">
        <v>0.5</v>
      </c>
      <c r="N19" s="46">
        <v>46</v>
      </c>
      <c r="O19" s="46">
        <v>9</v>
      </c>
      <c r="P19" s="46"/>
      <c r="Q19" s="46"/>
      <c r="R19" s="46"/>
      <c r="S19" s="46"/>
      <c r="T19" s="46"/>
      <c r="U19" s="46"/>
      <c r="V19" s="64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</row>
    <row r="20" spans="1:77" x14ac:dyDescent="0.25">
      <c r="A20" s="62"/>
      <c r="V20" s="21"/>
    </row>
    <row r="21" spans="1:77" s="49" customFormat="1" x14ac:dyDescent="0.25">
      <c r="A21" s="46" t="s">
        <v>430</v>
      </c>
      <c r="B21" s="64" t="s">
        <v>507</v>
      </c>
      <c r="C21" s="46">
        <v>4741401001</v>
      </c>
      <c r="D21" s="47">
        <v>46042</v>
      </c>
      <c r="E21" s="46">
        <v>91625</v>
      </c>
      <c r="F21" s="46" t="s">
        <v>508</v>
      </c>
      <c r="G21" s="46">
        <v>4</v>
      </c>
      <c r="H21" s="46">
        <v>42882</v>
      </c>
      <c r="I21" s="46" t="s">
        <v>509</v>
      </c>
      <c r="J21" s="46" t="s">
        <v>510</v>
      </c>
      <c r="K21" s="46">
        <v>1</v>
      </c>
      <c r="L21" s="46">
        <v>10107</v>
      </c>
      <c r="M21" s="48">
        <v>0.60416666666666663</v>
      </c>
      <c r="N21" s="46">
        <v>3</v>
      </c>
      <c r="O21" s="46">
        <v>4</v>
      </c>
      <c r="P21" s="46"/>
      <c r="Q21" s="46"/>
      <c r="R21" s="46"/>
      <c r="S21" s="55">
        <v>0.60416666666666663</v>
      </c>
      <c r="T21" s="46">
        <v>4</v>
      </c>
      <c r="U21" s="46">
        <v>3</v>
      </c>
      <c r="V21" s="64"/>
      <c r="W21" s="46"/>
      <c r="X21" s="46"/>
      <c r="Y21" s="55">
        <v>0.60416666666666663</v>
      </c>
      <c r="Z21" s="46">
        <v>2</v>
      </c>
      <c r="AA21" s="46">
        <v>2</v>
      </c>
      <c r="AB21" s="46"/>
      <c r="AC21" s="46"/>
      <c r="AD21" s="46"/>
      <c r="AE21" s="55">
        <v>0.60416666666666663</v>
      </c>
      <c r="AF21" s="46">
        <v>3</v>
      </c>
      <c r="AG21" s="46">
        <v>3</v>
      </c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7" x14ac:dyDescent="0.25">
      <c r="A22" s="62"/>
      <c r="V22" s="21"/>
    </row>
    <row r="23" spans="1:77" x14ac:dyDescent="0.25">
      <c r="A23" s="62"/>
      <c r="V23" s="21"/>
    </row>
    <row r="24" spans="1:77" x14ac:dyDescent="0.25">
      <c r="A24" s="62"/>
      <c r="V24" s="21"/>
    </row>
    <row r="25" spans="1:77" x14ac:dyDescent="0.25">
      <c r="A25" s="62"/>
      <c r="V25" s="21"/>
    </row>
    <row r="26" spans="1:77" x14ac:dyDescent="0.25">
      <c r="A26" s="62"/>
      <c r="V26" s="21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x14ac:dyDescent="0.25">
      <c r="A30" s="62"/>
      <c r="V30" s="21"/>
    </row>
    <row r="31" spans="1:77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2"/>
      <c r="V31" s="68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</row>
    <row r="32" spans="1:77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0"/>
      <c r="V32" s="69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V45" s="21"/>
    </row>
    <row r="46" spans="1:2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</sheetData>
  <mergeCells count="2">
    <mergeCell ref="A1:E1"/>
    <mergeCell ref="G1:H1"/>
  </mergeCells>
  <conditionalFormatting sqref="A3:A51">
    <cfRule type="containsText" dxfId="31" priority="1" operator="containsText" text="PEDRO">
      <formula>NOT(ISERROR(SEARCH("PEDRO",A3)))</formula>
    </cfRule>
    <cfRule type="containsText" dxfId="30" priority="2" operator="containsText" text="YGOR">
      <formula>NOT(ISERROR(SEARCH("YGOR",A3)))</formula>
    </cfRule>
    <cfRule type="containsText" dxfId="29" priority="3" operator="containsText" text="ALEXANDRE">
      <formula>NOT(ISERROR(SEARCH("ALEXANDRE",A3)))</formula>
    </cfRule>
    <cfRule type="containsText" dxfId="28" priority="4" operator="containsText" text="LILIAN">
      <formula>NOT(ISERROR(SEARCH("LILIAN",A3)))</formula>
    </cfRule>
  </conditionalFormatting>
  <conditionalFormatting sqref="J1:J1048576">
    <cfRule type="containsText" dxfId="27" priority="5" operator="containsText" text="ALFA TRANSPORTES">
      <formula>NOT(ISERROR(SEARCH("ALFA TRANSPORTES",J1)))</formula>
    </cfRule>
    <cfRule type="containsText" dxfId="26" priority="6" operator="containsText" text="NEW BIGTRANS">
      <formula>NOT(ISERROR(SEARCH("NEW BIGTRANS",J1)))</formula>
    </cfRule>
    <cfRule type="containsText" dxfId="25" priority="7" operator="containsText" text="EXPRESSO SAO MIGUEL">
      <formula>NOT(ISERROR(SEARCH("EXPRESSO SAO MIGUEL",J1)))</formula>
    </cfRule>
    <cfRule type="containsText" dxfId="24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B0E4A2C4-87F0-4E81-8353-98B331E885CB}">
      <formula1>$CB$5:$CB$8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1D5F-4663-4195-BD3E-177713BD5C8C}">
  <sheetPr>
    <tabColor rgb="FFFFFF00"/>
  </sheetPr>
  <dimension ref="A1:U64"/>
  <sheetViews>
    <sheetView showGridLines="0" topLeftCell="A17" workbookViewId="0">
      <selection activeCell="S30" sqref="M30:U30"/>
    </sheetView>
  </sheetViews>
  <sheetFormatPr defaultRowHeight="15" x14ac:dyDescent="0.25"/>
  <sheetData>
    <row r="1" spans="1:21" x14ac:dyDescent="0.25">
      <c r="A1" s="214" t="s">
        <v>511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11.5</v>
      </c>
      <c r="F18" s="210"/>
      <c r="G18" s="211">
        <f>E18-(E22/2)</f>
        <v>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11.5</v>
      </c>
      <c r="F19" s="192"/>
      <c r="G19" s="194">
        <f>E19-(E22/2)</f>
        <v>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40</v>
      </c>
      <c r="F20" s="192"/>
      <c r="G20" s="194">
        <f>E20-(E22/2)</f>
        <v>33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40</v>
      </c>
      <c r="F21" s="192"/>
      <c r="G21" s="194">
        <f>E21-(E22/2)</f>
        <v>33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14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11.5</v>
      </c>
      <c r="C29" s="178"/>
      <c r="D29" s="34">
        <v>0.7</v>
      </c>
      <c r="E29" s="35">
        <f>B29+D29</f>
        <v>12.2</v>
      </c>
      <c r="F29" s="177">
        <f>$E$19</f>
        <v>11.5</v>
      </c>
      <c r="G29" s="178"/>
      <c r="H29" s="34">
        <v>1</v>
      </c>
      <c r="I29" s="175">
        <f>F29+H29</f>
        <v>12.5</v>
      </c>
      <c r="J29" s="176"/>
      <c r="M29" s="179">
        <f>$E$18</f>
        <v>11.5</v>
      </c>
      <c r="N29" s="180"/>
      <c r="O29" s="36">
        <v>0.7</v>
      </c>
      <c r="P29" s="37">
        <f>M29+O29</f>
        <v>12.2</v>
      </c>
      <c r="Q29" s="179">
        <f>$E$19</f>
        <v>11.5</v>
      </c>
      <c r="R29" s="180"/>
      <c r="S29" s="36">
        <v>1.1000000000000001</v>
      </c>
      <c r="T29" s="181">
        <f>Q29+S29</f>
        <v>12.6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/>
      <c r="E31" s="40">
        <f t="shared" ref="E31:E38" si="0">$E$20+D31</f>
        <v>40</v>
      </c>
      <c r="F31" s="167" t="s">
        <v>16</v>
      </c>
      <c r="G31" s="168"/>
      <c r="H31" s="34"/>
      <c r="I31" s="175">
        <f t="shared" ref="I31:I38" si="1">$E$21+H31</f>
        <v>40</v>
      </c>
      <c r="J31" s="176"/>
      <c r="M31" s="166" t="s">
        <v>17</v>
      </c>
      <c r="N31" s="166"/>
      <c r="O31" s="39"/>
      <c r="P31" s="40">
        <f t="shared" ref="P31:P38" si="2">$E$20+O31</f>
        <v>40</v>
      </c>
      <c r="Q31" s="167" t="s">
        <v>17</v>
      </c>
      <c r="R31" s="168"/>
      <c r="S31" s="34">
        <v>0.05</v>
      </c>
      <c r="T31" s="175">
        <f t="shared" ref="T31:T38" si="3">$E$21+S31</f>
        <v>40.049999999999997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40</v>
      </c>
      <c r="F32" s="167" t="s">
        <v>18</v>
      </c>
      <c r="G32" s="168"/>
      <c r="H32" s="38"/>
      <c r="I32" s="175">
        <f t="shared" si="1"/>
        <v>40</v>
      </c>
      <c r="J32" s="176"/>
      <c r="M32" s="166" t="s">
        <v>18</v>
      </c>
      <c r="N32" s="166"/>
      <c r="O32" s="41"/>
      <c r="P32" s="40">
        <f t="shared" si="2"/>
        <v>40</v>
      </c>
      <c r="Q32" s="167" t="s">
        <v>18</v>
      </c>
      <c r="R32" s="168"/>
      <c r="S32" s="38"/>
      <c r="T32" s="175">
        <f t="shared" si="3"/>
        <v>40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40</v>
      </c>
      <c r="F33" s="167" t="s">
        <v>18</v>
      </c>
      <c r="G33" s="168"/>
      <c r="H33" s="38"/>
      <c r="I33" s="175">
        <f t="shared" si="1"/>
        <v>40</v>
      </c>
      <c r="J33" s="176"/>
      <c r="M33" s="166" t="s">
        <v>18</v>
      </c>
      <c r="N33" s="166"/>
      <c r="O33" s="41"/>
      <c r="P33" s="40">
        <f t="shared" si="2"/>
        <v>40</v>
      </c>
      <c r="Q33" s="167" t="s">
        <v>18</v>
      </c>
      <c r="R33" s="168"/>
      <c r="S33" s="38"/>
      <c r="T33" s="175">
        <f t="shared" si="3"/>
        <v>40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40</v>
      </c>
      <c r="F34" s="167" t="s">
        <v>18</v>
      </c>
      <c r="G34" s="168"/>
      <c r="H34" s="38"/>
      <c r="I34" s="175">
        <f t="shared" si="1"/>
        <v>40</v>
      </c>
      <c r="J34" s="176"/>
      <c r="M34" s="166" t="s">
        <v>19</v>
      </c>
      <c r="N34" s="166"/>
      <c r="O34" s="41"/>
      <c r="P34" s="40">
        <f t="shared" si="2"/>
        <v>40</v>
      </c>
      <c r="Q34" s="167" t="s">
        <v>18</v>
      </c>
      <c r="R34" s="168"/>
      <c r="S34" s="38"/>
      <c r="T34" s="175">
        <f t="shared" si="3"/>
        <v>40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40</v>
      </c>
      <c r="F35" s="167" t="s">
        <v>18</v>
      </c>
      <c r="G35" s="168"/>
      <c r="H35" s="38"/>
      <c r="I35" s="175">
        <f t="shared" si="1"/>
        <v>40</v>
      </c>
      <c r="J35" s="176"/>
      <c r="M35" s="166" t="s">
        <v>18</v>
      </c>
      <c r="N35" s="166"/>
      <c r="O35" s="41"/>
      <c r="P35" s="40">
        <f t="shared" si="2"/>
        <v>40</v>
      </c>
      <c r="Q35" s="167" t="s">
        <v>18</v>
      </c>
      <c r="R35" s="168"/>
      <c r="S35" s="38"/>
      <c r="T35" s="175">
        <f t="shared" si="3"/>
        <v>40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40</v>
      </c>
      <c r="F36" s="167" t="s">
        <v>18</v>
      </c>
      <c r="G36" s="168"/>
      <c r="H36" s="38"/>
      <c r="I36" s="175">
        <f t="shared" si="1"/>
        <v>40</v>
      </c>
      <c r="J36" s="176"/>
      <c r="M36" s="166" t="s">
        <v>18</v>
      </c>
      <c r="N36" s="166"/>
      <c r="O36" s="41"/>
      <c r="P36" s="40">
        <f t="shared" si="2"/>
        <v>40</v>
      </c>
      <c r="Q36" s="167" t="s">
        <v>18</v>
      </c>
      <c r="R36" s="168"/>
      <c r="S36" s="38"/>
      <c r="T36" s="175">
        <f t="shared" si="3"/>
        <v>40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40</v>
      </c>
      <c r="F37" s="167" t="s">
        <v>18</v>
      </c>
      <c r="G37" s="168"/>
      <c r="H37" s="38"/>
      <c r="I37" s="175">
        <f t="shared" si="1"/>
        <v>40</v>
      </c>
      <c r="J37" s="176"/>
      <c r="M37" s="166" t="s">
        <v>18</v>
      </c>
      <c r="N37" s="166"/>
      <c r="O37" s="41"/>
      <c r="P37" s="40">
        <f t="shared" si="2"/>
        <v>40</v>
      </c>
      <c r="Q37" s="167" t="s">
        <v>18</v>
      </c>
      <c r="R37" s="168"/>
      <c r="S37" s="38"/>
      <c r="T37" s="175">
        <f t="shared" si="3"/>
        <v>40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40</v>
      </c>
      <c r="F38" s="167" t="s">
        <v>18</v>
      </c>
      <c r="G38" s="168"/>
      <c r="H38" s="38"/>
      <c r="I38" s="175">
        <f t="shared" si="1"/>
        <v>40</v>
      </c>
      <c r="J38" s="176"/>
      <c r="M38" s="166" t="s">
        <v>18</v>
      </c>
      <c r="N38" s="166"/>
      <c r="O38" s="41"/>
      <c r="P38" s="40">
        <f t="shared" si="2"/>
        <v>40</v>
      </c>
      <c r="Q38" s="167" t="s">
        <v>18</v>
      </c>
      <c r="R38" s="168"/>
      <c r="S38" s="38"/>
      <c r="T38" s="175">
        <f t="shared" si="3"/>
        <v>40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11.5</v>
      </c>
      <c r="C42" s="178"/>
      <c r="D42" s="34"/>
      <c r="E42" s="35">
        <f>B42+D42</f>
        <v>11.5</v>
      </c>
      <c r="F42" s="177">
        <f>$E$19</f>
        <v>11.5</v>
      </c>
      <c r="G42" s="178"/>
      <c r="H42" s="34"/>
      <c r="I42" s="175">
        <f>F42+H42</f>
        <v>11.5</v>
      </c>
      <c r="J42" s="176"/>
      <c r="M42" s="179">
        <f>$E$18</f>
        <v>11.5</v>
      </c>
      <c r="N42" s="180"/>
      <c r="O42" s="36"/>
      <c r="P42" s="37">
        <f>M42+O42</f>
        <v>11.5</v>
      </c>
      <c r="Q42" s="179">
        <f>$E$19</f>
        <v>11.5</v>
      </c>
      <c r="R42" s="180"/>
      <c r="S42" s="36"/>
      <c r="T42" s="181">
        <f>Q42+S42</f>
        <v>11.5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40</v>
      </c>
      <c r="F44" s="167" t="s">
        <v>16</v>
      </c>
      <c r="G44" s="168"/>
      <c r="H44" s="34"/>
      <c r="I44" s="175">
        <f t="shared" ref="I44:I51" si="5">$E$21+H44</f>
        <v>40</v>
      </c>
      <c r="J44" s="176"/>
      <c r="M44" s="166" t="s">
        <v>17</v>
      </c>
      <c r="N44" s="166"/>
      <c r="O44" s="39"/>
      <c r="P44" s="40">
        <f t="shared" ref="P44:P51" si="6">$E$20+O44</f>
        <v>40</v>
      </c>
      <c r="Q44" s="167" t="s">
        <v>17</v>
      </c>
      <c r="R44" s="168"/>
      <c r="S44" s="34"/>
      <c r="T44" s="175">
        <f t="shared" ref="T44:T51" si="7">$E$21+S44</f>
        <v>40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40</v>
      </c>
      <c r="F45" s="167" t="s">
        <v>18</v>
      </c>
      <c r="G45" s="168"/>
      <c r="H45" s="38"/>
      <c r="I45" s="175">
        <f t="shared" si="5"/>
        <v>40</v>
      </c>
      <c r="J45" s="176"/>
      <c r="M45" s="166" t="s">
        <v>18</v>
      </c>
      <c r="N45" s="166"/>
      <c r="O45" s="41"/>
      <c r="P45" s="40">
        <f t="shared" si="6"/>
        <v>40</v>
      </c>
      <c r="Q45" s="167" t="s">
        <v>18</v>
      </c>
      <c r="R45" s="168"/>
      <c r="S45" s="38"/>
      <c r="T45" s="175">
        <f t="shared" si="7"/>
        <v>40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40</v>
      </c>
      <c r="F46" s="167" t="s">
        <v>18</v>
      </c>
      <c r="G46" s="168"/>
      <c r="H46" s="38"/>
      <c r="I46" s="175">
        <f t="shared" si="5"/>
        <v>40</v>
      </c>
      <c r="J46" s="176"/>
      <c r="M46" s="166" t="s">
        <v>18</v>
      </c>
      <c r="N46" s="166"/>
      <c r="O46" s="41"/>
      <c r="P46" s="40">
        <f t="shared" si="6"/>
        <v>40</v>
      </c>
      <c r="Q46" s="167" t="s">
        <v>18</v>
      </c>
      <c r="R46" s="168"/>
      <c r="S46" s="38"/>
      <c r="T46" s="175">
        <f t="shared" si="7"/>
        <v>40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40</v>
      </c>
      <c r="F47" s="167" t="s">
        <v>18</v>
      </c>
      <c r="G47" s="168"/>
      <c r="H47" s="38"/>
      <c r="I47" s="175">
        <f t="shared" si="5"/>
        <v>40</v>
      </c>
      <c r="J47" s="176"/>
      <c r="M47" s="166" t="s">
        <v>19</v>
      </c>
      <c r="N47" s="166"/>
      <c r="O47" s="41"/>
      <c r="P47" s="40">
        <f t="shared" si="6"/>
        <v>40</v>
      </c>
      <c r="Q47" s="167" t="s">
        <v>18</v>
      </c>
      <c r="R47" s="168"/>
      <c r="S47" s="38"/>
      <c r="T47" s="175">
        <f t="shared" si="7"/>
        <v>40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40</v>
      </c>
      <c r="F48" s="167" t="s">
        <v>18</v>
      </c>
      <c r="G48" s="168"/>
      <c r="H48" s="38"/>
      <c r="I48" s="175">
        <f t="shared" si="5"/>
        <v>40</v>
      </c>
      <c r="J48" s="176"/>
      <c r="M48" s="166" t="s">
        <v>18</v>
      </c>
      <c r="N48" s="166"/>
      <c r="O48" s="41"/>
      <c r="P48" s="40">
        <f t="shared" si="6"/>
        <v>40</v>
      </c>
      <c r="Q48" s="167" t="s">
        <v>18</v>
      </c>
      <c r="R48" s="168"/>
      <c r="S48" s="38"/>
      <c r="T48" s="175">
        <f t="shared" si="7"/>
        <v>40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40</v>
      </c>
      <c r="F49" s="167" t="s">
        <v>18</v>
      </c>
      <c r="G49" s="168"/>
      <c r="H49" s="38"/>
      <c r="I49" s="175">
        <f t="shared" si="5"/>
        <v>40</v>
      </c>
      <c r="J49" s="176"/>
      <c r="M49" s="166" t="s">
        <v>18</v>
      </c>
      <c r="N49" s="166"/>
      <c r="O49" s="41"/>
      <c r="P49" s="40">
        <f t="shared" si="6"/>
        <v>40</v>
      </c>
      <c r="Q49" s="167" t="s">
        <v>18</v>
      </c>
      <c r="R49" s="168"/>
      <c r="S49" s="38"/>
      <c r="T49" s="175">
        <f t="shared" si="7"/>
        <v>40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40</v>
      </c>
      <c r="F50" s="167" t="s">
        <v>18</v>
      </c>
      <c r="G50" s="168"/>
      <c r="H50" s="38"/>
      <c r="I50" s="175">
        <f t="shared" si="5"/>
        <v>40</v>
      </c>
      <c r="J50" s="176"/>
      <c r="M50" s="166" t="s">
        <v>18</v>
      </c>
      <c r="N50" s="166"/>
      <c r="O50" s="41"/>
      <c r="P50" s="40">
        <f t="shared" si="6"/>
        <v>40</v>
      </c>
      <c r="Q50" s="167" t="s">
        <v>18</v>
      </c>
      <c r="R50" s="168"/>
      <c r="S50" s="38"/>
      <c r="T50" s="175">
        <f t="shared" si="7"/>
        <v>40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40</v>
      </c>
      <c r="F51" s="167" t="s">
        <v>18</v>
      </c>
      <c r="G51" s="168"/>
      <c r="H51" s="38"/>
      <c r="I51" s="175">
        <f t="shared" si="5"/>
        <v>40</v>
      </c>
      <c r="J51" s="176"/>
      <c r="M51" s="166" t="s">
        <v>18</v>
      </c>
      <c r="N51" s="166"/>
      <c r="O51" s="41"/>
      <c r="P51" s="40">
        <f t="shared" si="6"/>
        <v>40</v>
      </c>
      <c r="Q51" s="167" t="s">
        <v>18</v>
      </c>
      <c r="R51" s="168"/>
      <c r="S51" s="38"/>
      <c r="T51" s="175">
        <f t="shared" si="7"/>
        <v>40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11.5</v>
      </c>
      <c r="C55" s="178"/>
      <c r="D55" s="34"/>
      <c r="E55" s="35">
        <f>B55+D55</f>
        <v>11.5</v>
      </c>
      <c r="F55" s="177">
        <f>$E$19</f>
        <v>11.5</v>
      </c>
      <c r="G55" s="178"/>
      <c r="H55" s="34"/>
      <c r="I55" s="175">
        <f>F55+H55</f>
        <v>11.5</v>
      </c>
      <c r="J55" s="176"/>
      <c r="M55" s="179">
        <f>$E$18</f>
        <v>11.5</v>
      </c>
      <c r="N55" s="180"/>
      <c r="O55" s="36"/>
      <c r="P55" s="37">
        <f>M55+O55</f>
        <v>11.5</v>
      </c>
      <c r="Q55" s="179">
        <f>$E$19</f>
        <v>11.5</v>
      </c>
      <c r="R55" s="180"/>
      <c r="S55" s="36"/>
      <c r="T55" s="181">
        <f>Q55+S55</f>
        <v>11.5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40</v>
      </c>
      <c r="F57" s="167" t="s">
        <v>16</v>
      </c>
      <c r="G57" s="168"/>
      <c r="H57" s="34"/>
      <c r="I57" s="175">
        <f t="shared" ref="I57:I64" si="9">$E$21+H57</f>
        <v>40</v>
      </c>
      <c r="J57" s="176"/>
      <c r="M57" s="166" t="s">
        <v>17</v>
      </c>
      <c r="N57" s="166"/>
      <c r="O57" s="39"/>
      <c r="P57" s="40">
        <f t="shared" ref="P57:P64" si="10">$E$20+O57</f>
        <v>40</v>
      </c>
      <c r="Q57" s="167" t="s">
        <v>17</v>
      </c>
      <c r="R57" s="168"/>
      <c r="S57" s="34"/>
      <c r="T57" s="175">
        <f t="shared" ref="T57:T64" si="11">$E$21+S57</f>
        <v>40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40</v>
      </c>
      <c r="F58" s="167" t="s">
        <v>18</v>
      </c>
      <c r="G58" s="168"/>
      <c r="H58" s="38"/>
      <c r="I58" s="175">
        <f t="shared" si="9"/>
        <v>40</v>
      </c>
      <c r="J58" s="176"/>
      <c r="M58" s="166" t="s">
        <v>18</v>
      </c>
      <c r="N58" s="166"/>
      <c r="O58" s="41"/>
      <c r="P58" s="40">
        <f t="shared" si="10"/>
        <v>40</v>
      </c>
      <c r="Q58" s="167" t="s">
        <v>18</v>
      </c>
      <c r="R58" s="168"/>
      <c r="S58" s="38"/>
      <c r="T58" s="175">
        <f t="shared" si="11"/>
        <v>40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40</v>
      </c>
      <c r="F59" s="167" t="s">
        <v>18</v>
      </c>
      <c r="G59" s="168"/>
      <c r="H59" s="38"/>
      <c r="I59" s="175">
        <f t="shared" si="9"/>
        <v>40</v>
      </c>
      <c r="J59" s="176"/>
      <c r="M59" s="166" t="s">
        <v>18</v>
      </c>
      <c r="N59" s="166"/>
      <c r="O59" s="41"/>
      <c r="P59" s="40">
        <f t="shared" si="10"/>
        <v>40</v>
      </c>
      <c r="Q59" s="167" t="s">
        <v>18</v>
      </c>
      <c r="R59" s="168"/>
      <c r="S59" s="38"/>
      <c r="T59" s="175">
        <f t="shared" si="11"/>
        <v>40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40</v>
      </c>
      <c r="F60" s="167" t="s">
        <v>18</v>
      </c>
      <c r="G60" s="168"/>
      <c r="H60" s="38"/>
      <c r="I60" s="175">
        <f t="shared" si="9"/>
        <v>40</v>
      </c>
      <c r="J60" s="176"/>
      <c r="M60" s="166" t="s">
        <v>19</v>
      </c>
      <c r="N60" s="166"/>
      <c r="O60" s="41"/>
      <c r="P60" s="40">
        <f t="shared" si="10"/>
        <v>40</v>
      </c>
      <c r="Q60" s="167" t="s">
        <v>18</v>
      </c>
      <c r="R60" s="168"/>
      <c r="S60" s="38"/>
      <c r="T60" s="175">
        <f t="shared" si="11"/>
        <v>40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40</v>
      </c>
      <c r="F61" s="167" t="s">
        <v>18</v>
      </c>
      <c r="G61" s="168"/>
      <c r="H61" s="38"/>
      <c r="I61" s="175">
        <f t="shared" si="9"/>
        <v>40</v>
      </c>
      <c r="J61" s="176"/>
      <c r="M61" s="166" t="s">
        <v>18</v>
      </c>
      <c r="N61" s="166"/>
      <c r="O61" s="41"/>
      <c r="P61" s="40">
        <f t="shared" si="10"/>
        <v>40</v>
      </c>
      <c r="Q61" s="167" t="s">
        <v>18</v>
      </c>
      <c r="R61" s="168"/>
      <c r="S61" s="38"/>
      <c r="T61" s="175">
        <f t="shared" si="11"/>
        <v>40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40</v>
      </c>
      <c r="F62" s="167" t="s">
        <v>18</v>
      </c>
      <c r="G62" s="168"/>
      <c r="H62" s="38"/>
      <c r="I62" s="175">
        <f t="shared" si="9"/>
        <v>40</v>
      </c>
      <c r="J62" s="176"/>
      <c r="M62" s="166" t="s">
        <v>18</v>
      </c>
      <c r="N62" s="166"/>
      <c r="O62" s="41"/>
      <c r="P62" s="40">
        <f t="shared" si="10"/>
        <v>40</v>
      </c>
      <c r="Q62" s="167" t="s">
        <v>18</v>
      </c>
      <c r="R62" s="168"/>
      <c r="S62" s="38"/>
      <c r="T62" s="175">
        <f t="shared" si="11"/>
        <v>40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40</v>
      </c>
      <c r="F63" s="167" t="s">
        <v>18</v>
      </c>
      <c r="G63" s="168"/>
      <c r="H63" s="38"/>
      <c r="I63" s="175">
        <f t="shared" si="9"/>
        <v>40</v>
      </c>
      <c r="J63" s="176"/>
      <c r="M63" s="166" t="s">
        <v>18</v>
      </c>
      <c r="N63" s="166"/>
      <c r="O63" s="41"/>
      <c r="P63" s="40">
        <f t="shared" si="10"/>
        <v>40</v>
      </c>
      <c r="Q63" s="167" t="s">
        <v>18</v>
      </c>
      <c r="R63" s="168"/>
      <c r="S63" s="38"/>
      <c r="T63" s="175">
        <f t="shared" si="11"/>
        <v>40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40</v>
      </c>
      <c r="F64" s="167" t="s">
        <v>18</v>
      </c>
      <c r="G64" s="168"/>
      <c r="H64" s="38"/>
      <c r="I64" s="175">
        <f t="shared" si="9"/>
        <v>40</v>
      </c>
      <c r="J64" s="176"/>
      <c r="M64" s="166" t="s">
        <v>18</v>
      </c>
      <c r="N64" s="166"/>
      <c r="O64" s="41"/>
      <c r="P64" s="40">
        <f t="shared" si="10"/>
        <v>40</v>
      </c>
      <c r="Q64" s="167" t="s">
        <v>18</v>
      </c>
      <c r="R64" s="168"/>
      <c r="S64" s="38"/>
      <c r="T64" s="175">
        <f t="shared" si="11"/>
        <v>40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0297-0E8D-413A-8FEB-51E915A34B80}">
  <sheetPr>
    <tabColor rgb="FFFFFF00"/>
  </sheetPr>
  <dimension ref="A1:U64"/>
  <sheetViews>
    <sheetView showGridLines="0" topLeftCell="A18" workbookViewId="0">
      <selection activeCell="V32" sqref="V32"/>
    </sheetView>
  </sheetViews>
  <sheetFormatPr defaultRowHeight="15" x14ac:dyDescent="0.25"/>
  <sheetData>
    <row r="1" spans="1:21" x14ac:dyDescent="0.25">
      <c r="A1" s="214" t="s">
        <v>511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36</v>
      </c>
      <c r="F18" s="210"/>
      <c r="G18" s="211">
        <f>E18-(E22/2)</f>
        <v>30.5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36</v>
      </c>
      <c r="F19" s="192"/>
      <c r="G19" s="194">
        <f>E19-(E22/2)</f>
        <v>30.5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36</v>
      </c>
      <c r="C29" s="178"/>
      <c r="D29" s="34">
        <v>0.5</v>
      </c>
      <c r="E29" s="35">
        <f>B29+D29</f>
        <v>36.5</v>
      </c>
      <c r="F29" s="177">
        <f>$E$19</f>
        <v>36</v>
      </c>
      <c r="G29" s="178"/>
      <c r="H29" s="34">
        <v>0.2</v>
      </c>
      <c r="I29" s="175">
        <f>F29+H29</f>
        <v>36.200000000000003</v>
      </c>
      <c r="J29" s="176"/>
      <c r="M29" s="179">
        <f>$E$18</f>
        <v>36</v>
      </c>
      <c r="N29" s="180"/>
      <c r="O29" s="36">
        <v>0.1</v>
      </c>
      <c r="P29" s="37">
        <f>M29+O29</f>
        <v>36.1</v>
      </c>
      <c r="Q29" s="179">
        <f>$E$19</f>
        <v>36</v>
      </c>
      <c r="R29" s="180"/>
      <c r="S29" s="36">
        <v>0.5</v>
      </c>
      <c r="T29" s="181">
        <f>Q29+S29</f>
        <v>36.5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/>
      <c r="E31" s="40">
        <f t="shared" ref="E31:E38" si="0">$E$20+D31</f>
        <v>30</v>
      </c>
      <c r="F31" s="167" t="s">
        <v>16</v>
      </c>
      <c r="G31" s="168"/>
      <c r="H31" s="34"/>
      <c r="I31" s="175">
        <f t="shared" ref="I31:I38" si="1">$E$21+H31</f>
        <v>30</v>
      </c>
      <c r="J31" s="176"/>
      <c r="M31" s="166" t="s">
        <v>17</v>
      </c>
      <c r="N31" s="166"/>
      <c r="O31" s="39">
        <v>0.1</v>
      </c>
      <c r="P31" s="40">
        <f t="shared" ref="P31:P38" si="2">$E$20+O31</f>
        <v>30.1</v>
      </c>
      <c r="Q31" s="167" t="s">
        <v>17</v>
      </c>
      <c r="R31" s="168"/>
      <c r="S31" s="34">
        <v>0.05</v>
      </c>
      <c r="T31" s="175">
        <f t="shared" ref="T31:T38" si="3">$E$21+S31</f>
        <v>30.05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36</v>
      </c>
      <c r="C42" s="178"/>
      <c r="D42" s="34"/>
      <c r="E42" s="35">
        <f>B42+D42</f>
        <v>36</v>
      </c>
      <c r="F42" s="177">
        <f>$E$19</f>
        <v>36</v>
      </c>
      <c r="G42" s="178"/>
      <c r="H42" s="34"/>
      <c r="I42" s="175">
        <f>F42+H42</f>
        <v>36</v>
      </c>
      <c r="J42" s="176"/>
      <c r="M42" s="179">
        <f>$E$18</f>
        <v>36</v>
      </c>
      <c r="N42" s="180"/>
      <c r="O42" s="36"/>
      <c r="P42" s="37">
        <f>M42+O42</f>
        <v>36</v>
      </c>
      <c r="Q42" s="179">
        <f>$E$19</f>
        <v>36</v>
      </c>
      <c r="R42" s="180"/>
      <c r="S42" s="36"/>
      <c r="T42" s="181">
        <f>Q42+S42</f>
        <v>36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36</v>
      </c>
      <c r="C55" s="178"/>
      <c r="D55" s="34"/>
      <c r="E55" s="35">
        <f>B55+D55</f>
        <v>36</v>
      </c>
      <c r="F55" s="177">
        <f>$E$19</f>
        <v>36</v>
      </c>
      <c r="G55" s="178"/>
      <c r="H55" s="34"/>
      <c r="I55" s="175">
        <f>F55+H55</f>
        <v>36</v>
      </c>
      <c r="J55" s="176"/>
      <c r="M55" s="179">
        <f>$E$18</f>
        <v>36</v>
      </c>
      <c r="N55" s="180"/>
      <c r="O55" s="36"/>
      <c r="P55" s="37">
        <f>M55+O55</f>
        <v>36</v>
      </c>
      <c r="Q55" s="179">
        <f>$E$19</f>
        <v>36</v>
      </c>
      <c r="R55" s="180"/>
      <c r="S55" s="36"/>
      <c r="T55" s="181">
        <f>Q55+S55</f>
        <v>36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613B-23C9-4D87-A691-E614A07F384E}">
  <sheetPr>
    <tabColor rgb="FFFFFF00"/>
  </sheetPr>
  <dimension ref="A1:U64"/>
  <sheetViews>
    <sheetView showGridLines="0" topLeftCell="B19" workbookViewId="0">
      <selection activeCell="O32" sqref="O32"/>
    </sheetView>
  </sheetViews>
  <sheetFormatPr defaultRowHeight="15" x14ac:dyDescent="0.25"/>
  <sheetData>
    <row r="1" spans="1:21" x14ac:dyDescent="0.25">
      <c r="A1" s="214" t="s">
        <v>511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0.5</v>
      </c>
      <c r="E29" s="35">
        <f>B29+D29</f>
        <v>30.5</v>
      </c>
      <c r="F29" s="177">
        <f>$E$19</f>
        <v>30</v>
      </c>
      <c r="G29" s="178"/>
      <c r="H29" s="34">
        <v>0.5</v>
      </c>
      <c r="I29" s="175">
        <f>F29+H29</f>
        <v>30.5</v>
      </c>
      <c r="J29" s="176"/>
      <c r="M29" s="179">
        <f>$E$18</f>
        <v>30</v>
      </c>
      <c r="N29" s="180"/>
      <c r="O29" s="36"/>
      <c r="P29" s="37">
        <f>M29+O29</f>
        <v>30</v>
      </c>
      <c r="Q29" s="179">
        <f>$E$19</f>
        <v>30</v>
      </c>
      <c r="R29" s="180"/>
      <c r="S29" s="36"/>
      <c r="T29" s="181">
        <f>Q29+S29</f>
        <v>30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0.05</v>
      </c>
      <c r="E31" s="40">
        <f t="shared" ref="E31:E38" si="0">$E$20+D31</f>
        <v>30.05</v>
      </c>
      <c r="F31" s="167" t="s">
        <v>16</v>
      </c>
      <c r="G31" s="168"/>
      <c r="H31" s="34">
        <v>0.05</v>
      </c>
      <c r="I31" s="175">
        <f t="shared" ref="I31:I38" si="1">$E$21+H31</f>
        <v>30.05</v>
      </c>
      <c r="J31" s="176"/>
      <c r="M31" s="166" t="s">
        <v>17</v>
      </c>
      <c r="N31" s="166"/>
      <c r="O31" s="39"/>
      <c r="P31" s="40">
        <f t="shared" ref="P31:P38" si="2">$E$20+O31</f>
        <v>30</v>
      </c>
      <c r="Q31" s="167" t="s">
        <v>17</v>
      </c>
      <c r="R31" s="168"/>
      <c r="S31" s="34"/>
      <c r="T31" s="175">
        <f t="shared" ref="T31:T38" si="3">$E$21+S31</f>
        <v>30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30</v>
      </c>
      <c r="F32" s="167" t="s">
        <v>18</v>
      </c>
      <c r="G32" s="168"/>
      <c r="H32" s="38"/>
      <c r="I32" s="175">
        <f t="shared" si="1"/>
        <v>30</v>
      </c>
      <c r="J32" s="176"/>
      <c r="M32" s="166" t="s">
        <v>18</v>
      </c>
      <c r="N32" s="166"/>
      <c r="O32" s="41"/>
      <c r="P32" s="40">
        <f t="shared" si="2"/>
        <v>30</v>
      </c>
      <c r="Q32" s="167" t="s">
        <v>18</v>
      </c>
      <c r="R32" s="168"/>
      <c r="S32" s="38"/>
      <c r="T32" s="175">
        <f t="shared" si="3"/>
        <v>30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E72B-6114-4225-B5BC-4BBE9FA4AD6A}">
  <sheetPr>
    <tabColor rgb="FFFFFF00"/>
  </sheetPr>
  <dimension ref="A1:U64"/>
  <sheetViews>
    <sheetView showGridLines="0" topLeftCell="B26" workbookViewId="0">
      <selection activeCell="R22" sqref="R22"/>
    </sheetView>
  </sheetViews>
  <sheetFormatPr defaultRowHeight="15" x14ac:dyDescent="0.25"/>
  <sheetData>
    <row r="1" spans="1:21" x14ac:dyDescent="0.25">
      <c r="A1" s="214" t="s">
        <v>511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40</v>
      </c>
      <c r="F18" s="210"/>
      <c r="G18" s="211">
        <f>E18-(E22/2)</f>
        <v>33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40</v>
      </c>
      <c r="F19" s="192"/>
      <c r="G19" s="194">
        <f>E19-(E22/2)</f>
        <v>33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40</v>
      </c>
      <c r="F20" s="192"/>
      <c r="G20" s="194">
        <f>E20-(E22/2)</f>
        <v>33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40</v>
      </c>
      <c r="F21" s="192"/>
      <c r="G21" s="194">
        <f>E21-(E22/2)</f>
        <v>33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14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10</v>
      </c>
      <c r="C27" s="184"/>
      <c r="D27" s="184"/>
      <c r="E27" s="184"/>
      <c r="F27" s="184"/>
      <c r="G27" s="184"/>
      <c r="H27" s="184"/>
      <c r="I27" s="184"/>
      <c r="J27" s="185"/>
      <c r="M27" s="186" t="s">
        <v>11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40</v>
      </c>
      <c r="C29" s="178"/>
      <c r="D29" s="34">
        <v>-0.6</v>
      </c>
      <c r="E29" s="35">
        <f>B29+D29</f>
        <v>39.4</v>
      </c>
      <c r="F29" s="177">
        <f>$E$19</f>
        <v>40</v>
      </c>
      <c r="G29" s="178"/>
      <c r="H29" s="34">
        <v>0.9</v>
      </c>
      <c r="I29" s="175">
        <f>F29+H29</f>
        <v>40.9</v>
      </c>
      <c r="J29" s="176"/>
      <c r="M29" s="179">
        <f>$E$18</f>
        <v>40</v>
      </c>
      <c r="N29" s="180"/>
      <c r="O29" s="36">
        <v>-0.3</v>
      </c>
      <c r="P29" s="37">
        <f>M29+O29</f>
        <v>39.700000000000003</v>
      </c>
      <c r="Q29" s="179">
        <f>$E$19</f>
        <v>40</v>
      </c>
      <c r="R29" s="180"/>
      <c r="S29" s="36">
        <v>0.8</v>
      </c>
      <c r="T29" s="181">
        <f>Q29+S29</f>
        <v>40.799999999999997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0.1</v>
      </c>
      <c r="E31" s="40">
        <f t="shared" ref="E31:E38" si="0">$E$20+D31</f>
        <v>40.1</v>
      </c>
      <c r="F31" s="167" t="s">
        <v>16</v>
      </c>
      <c r="G31" s="168"/>
      <c r="H31" s="34"/>
      <c r="I31" s="175">
        <f t="shared" ref="I31:I38" si="1">$E$21+H31</f>
        <v>40</v>
      </c>
      <c r="J31" s="176"/>
      <c r="M31" s="166" t="s">
        <v>17</v>
      </c>
      <c r="N31" s="166"/>
      <c r="O31" s="39">
        <v>0.1</v>
      </c>
      <c r="P31" s="40">
        <f t="shared" ref="P31:P38" si="2">$E$20+O31</f>
        <v>40.1</v>
      </c>
      <c r="Q31" s="167" t="s">
        <v>17</v>
      </c>
      <c r="R31" s="168"/>
      <c r="S31" s="34"/>
      <c r="T31" s="175">
        <f t="shared" ref="T31:T38" si="3">$E$21+S31</f>
        <v>40</v>
      </c>
      <c r="U31" s="176"/>
    </row>
    <row r="32" spans="1:21" ht="15.75" x14ac:dyDescent="0.25">
      <c r="A32" s="23"/>
      <c r="B32" s="166" t="s">
        <v>18</v>
      </c>
      <c r="C32" s="166"/>
      <c r="D32" s="41"/>
      <c r="E32" s="40">
        <f t="shared" si="0"/>
        <v>40</v>
      </c>
      <c r="F32" s="167" t="s">
        <v>18</v>
      </c>
      <c r="G32" s="168"/>
      <c r="H32" s="38"/>
      <c r="I32" s="175">
        <f t="shared" si="1"/>
        <v>40</v>
      </c>
      <c r="J32" s="176"/>
      <c r="M32" s="166" t="s">
        <v>18</v>
      </c>
      <c r="N32" s="166"/>
      <c r="O32" s="41"/>
      <c r="P32" s="40">
        <f t="shared" si="2"/>
        <v>40</v>
      </c>
      <c r="Q32" s="167" t="s">
        <v>18</v>
      </c>
      <c r="R32" s="168"/>
      <c r="S32" s="38"/>
      <c r="T32" s="175">
        <f t="shared" si="3"/>
        <v>40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40</v>
      </c>
      <c r="F33" s="167" t="s">
        <v>18</v>
      </c>
      <c r="G33" s="168"/>
      <c r="H33" s="38"/>
      <c r="I33" s="175">
        <f t="shared" si="1"/>
        <v>40</v>
      </c>
      <c r="J33" s="176"/>
      <c r="M33" s="166" t="s">
        <v>18</v>
      </c>
      <c r="N33" s="166"/>
      <c r="O33" s="41"/>
      <c r="P33" s="40">
        <f t="shared" si="2"/>
        <v>40</v>
      </c>
      <c r="Q33" s="167" t="s">
        <v>18</v>
      </c>
      <c r="R33" s="168"/>
      <c r="S33" s="38"/>
      <c r="T33" s="175">
        <f t="shared" si="3"/>
        <v>40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40</v>
      </c>
      <c r="F34" s="167" t="s">
        <v>18</v>
      </c>
      <c r="G34" s="168"/>
      <c r="H34" s="38"/>
      <c r="I34" s="175">
        <f t="shared" si="1"/>
        <v>40</v>
      </c>
      <c r="J34" s="176"/>
      <c r="M34" s="166" t="s">
        <v>19</v>
      </c>
      <c r="N34" s="166"/>
      <c r="O34" s="41"/>
      <c r="P34" s="40">
        <f t="shared" si="2"/>
        <v>40</v>
      </c>
      <c r="Q34" s="167" t="s">
        <v>18</v>
      </c>
      <c r="R34" s="168"/>
      <c r="S34" s="38"/>
      <c r="T34" s="175">
        <f t="shared" si="3"/>
        <v>40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40</v>
      </c>
      <c r="F35" s="167" t="s">
        <v>18</v>
      </c>
      <c r="G35" s="168"/>
      <c r="H35" s="38"/>
      <c r="I35" s="175">
        <f t="shared" si="1"/>
        <v>40</v>
      </c>
      <c r="J35" s="176"/>
      <c r="M35" s="166" t="s">
        <v>18</v>
      </c>
      <c r="N35" s="166"/>
      <c r="O35" s="41"/>
      <c r="P35" s="40">
        <f t="shared" si="2"/>
        <v>40</v>
      </c>
      <c r="Q35" s="167" t="s">
        <v>18</v>
      </c>
      <c r="R35" s="168"/>
      <c r="S35" s="38"/>
      <c r="T35" s="175">
        <f t="shared" si="3"/>
        <v>40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40</v>
      </c>
      <c r="F36" s="167" t="s">
        <v>18</v>
      </c>
      <c r="G36" s="168"/>
      <c r="H36" s="38"/>
      <c r="I36" s="175">
        <f t="shared" si="1"/>
        <v>40</v>
      </c>
      <c r="J36" s="176"/>
      <c r="M36" s="166" t="s">
        <v>18</v>
      </c>
      <c r="N36" s="166"/>
      <c r="O36" s="41"/>
      <c r="P36" s="40">
        <f t="shared" si="2"/>
        <v>40</v>
      </c>
      <c r="Q36" s="167" t="s">
        <v>18</v>
      </c>
      <c r="R36" s="168"/>
      <c r="S36" s="38"/>
      <c r="T36" s="175">
        <f t="shared" si="3"/>
        <v>40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40</v>
      </c>
      <c r="F37" s="167" t="s">
        <v>18</v>
      </c>
      <c r="G37" s="168"/>
      <c r="H37" s="38"/>
      <c r="I37" s="175">
        <f t="shared" si="1"/>
        <v>40</v>
      </c>
      <c r="J37" s="176"/>
      <c r="M37" s="166" t="s">
        <v>18</v>
      </c>
      <c r="N37" s="166"/>
      <c r="O37" s="41"/>
      <c r="P37" s="40">
        <f t="shared" si="2"/>
        <v>40</v>
      </c>
      <c r="Q37" s="167" t="s">
        <v>18</v>
      </c>
      <c r="R37" s="168"/>
      <c r="S37" s="38"/>
      <c r="T37" s="175">
        <f t="shared" si="3"/>
        <v>40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40</v>
      </c>
      <c r="F38" s="167" t="s">
        <v>18</v>
      </c>
      <c r="G38" s="168"/>
      <c r="H38" s="38"/>
      <c r="I38" s="175">
        <f t="shared" si="1"/>
        <v>40</v>
      </c>
      <c r="J38" s="176"/>
      <c r="M38" s="166" t="s">
        <v>18</v>
      </c>
      <c r="N38" s="166"/>
      <c r="O38" s="41"/>
      <c r="P38" s="40">
        <f t="shared" si="2"/>
        <v>40</v>
      </c>
      <c r="Q38" s="167" t="s">
        <v>18</v>
      </c>
      <c r="R38" s="168"/>
      <c r="S38" s="38"/>
      <c r="T38" s="175">
        <f t="shared" si="3"/>
        <v>40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40</v>
      </c>
      <c r="C42" s="178"/>
      <c r="D42" s="34"/>
      <c r="E42" s="35">
        <f>B42+D42</f>
        <v>40</v>
      </c>
      <c r="F42" s="177">
        <f>$E$19</f>
        <v>40</v>
      </c>
      <c r="G42" s="178"/>
      <c r="H42" s="34"/>
      <c r="I42" s="175">
        <f>F42+H42</f>
        <v>40</v>
      </c>
      <c r="J42" s="176"/>
      <c r="M42" s="179">
        <f>$E$18</f>
        <v>40</v>
      </c>
      <c r="N42" s="180"/>
      <c r="O42" s="36"/>
      <c r="P42" s="37">
        <f>M42+O42</f>
        <v>40</v>
      </c>
      <c r="Q42" s="179">
        <f>$E$19</f>
        <v>40</v>
      </c>
      <c r="R42" s="180"/>
      <c r="S42" s="36"/>
      <c r="T42" s="181">
        <f>Q42+S42</f>
        <v>40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40</v>
      </c>
      <c r="F44" s="167" t="s">
        <v>16</v>
      </c>
      <c r="G44" s="168"/>
      <c r="H44" s="34"/>
      <c r="I44" s="175">
        <f t="shared" ref="I44:I51" si="5">$E$21+H44</f>
        <v>40</v>
      </c>
      <c r="J44" s="176"/>
      <c r="M44" s="166" t="s">
        <v>17</v>
      </c>
      <c r="N44" s="166"/>
      <c r="O44" s="39"/>
      <c r="P44" s="40">
        <f t="shared" ref="P44:P51" si="6">$E$20+O44</f>
        <v>40</v>
      </c>
      <c r="Q44" s="167" t="s">
        <v>17</v>
      </c>
      <c r="R44" s="168"/>
      <c r="S44" s="34"/>
      <c r="T44" s="175">
        <f t="shared" ref="T44:T51" si="7">$E$21+S44</f>
        <v>40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40</v>
      </c>
      <c r="F45" s="167" t="s">
        <v>18</v>
      </c>
      <c r="G45" s="168"/>
      <c r="H45" s="38"/>
      <c r="I45" s="175">
        <f t="shared" si="5"/>
        <v>40</v>
      </c>
      <c r="J45" s="176"/>
      <c r="M45" s="166" t="s">
        <v>18</v>
      </c>
      <c r="N45" s="166"/>
      <c r="O45" s="41"/>
      <c r="P45" s="40">
        <f t="shared" si="6"/>
        <v>40</v>
      </c>
      <c r="Q45" s="167" t="s">
        <v>18</v>
      </c>
      <c r="R45" s="168"/>
      <c r="S45" s="38"/>
      <c r="T45" s="175">
        <f t="shared" si="7"/>
        <v>40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40</v>
      </c>
      <c r="F46" s="167" t="s">
        <v>18</v>
      </c>
      <c r="G46" s="168"/>
      <c r="H46" s="38"/>
      <c r="I46" s="175">
        <f t="shared" si="5"/>
        <v>40</v>
      </c>
      <c r="J46" s="176"/>
      <c r="M46" s="166" t="s">
        <v>18</v>
      </c>
      <c r="N46" s="166"/>
      <c r="O46" s="41"/>
      <c r="P46" s="40">
        <f t="shared" si="6"/>
        <v>40</v>
      </c>
      <c r="Q46" s="167" t="s">
        <v>18</v>
      </c>
      <c r="R46" s="168"/>
      <c r="S46" s="38"/>
      <c r="T46" s="175">
        <f t="shared" si="7"/>
        <v>40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40</v>
      </c>
      <c r="F47" s="167" t="s">
        <v>18</v>
      </c>
      <c r="G47" s="168"/>
      <c r="H47" s="38"/>
      <c r="I47" s="175">
        <f t="shared" si="5"/>
        <v>40</v>
      </c>
      <c r="J47" s="176"/>
      <c r="M47" s="166" t="s">
        <v>19</v>
      </c>
      <c r="N47" s="166"/>
      <c r="O47" s="41"/>
      <c r="P47" s="40">
        <f t="shared" si="6"/>
        <v>40</v>
      </c>
      <c r="Q47" s="167" t="s">
        <v>18</v>
      </c>
      <c r="R47" s="168"/>
      <c r="S47" s="38"/>
      <c r="T47" s="175">
        <f t="shared" si="7"/>
        <v>40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40</v>
      </c>
      <c r="F48" s="167" t="s">
        <v>18</v>
      </c>
      <c r="G48" s="168"/>
      <c r="H48" s="38"/>
      <c r="I48" s="175">
        <f t="shared" si="5"/>
        <v>40</v>
      </c>
      <c r="J48" s="176"/>
      <c r="M48" s="166" t="s">
        <v>18</v>
      </c>
      <c r="N48" s="166"/>
      <c r="O48" s="41"/>
      <c r="P48" s="40">
        <f t="shared" si="6"/>
        <v>40</v>
      </c>
      <c r="Q48" s="167" t="s">
        <v>18</v>
      </c>
      <c r="R48" s="168"/>
      <c r="S48" s="38"/>
      <c r="T48" s="175">
        <f t="shared" si="7"/>
        <v>40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40</v>
      </c>
      <c r="F49" s="167" t="s">
        <v>18</v>
      </c>
      <c r="G49" s="168"/>
      <c r="H49" s="38"/>
      <c r="I49" s="175">
        <f t="shared" si="5"/>
        <v>40</v>
      </c>
      <c r="J49" s="176"/>
      <c r="M49" s="166" t="s">
        <v>18</v>
      </c>
      <c r="N49" s="166"/>
      <c r="O49" s="41"/>
      <c r="P49" s="40">
        <f t="shared" si="6"/>
        <v>40</v>
      </c>
      <c r="Q49" s="167" t="s">
        <v>18</v>
      </c>
      <c r="R49" s="168"/>
      <c r="S49" s="38"/>
      <c r="T49" s="175">
        <f t="shared" si="7"/>
        <v>40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40</v>
      </c>
      <c r="F50" s="167" t="s">
        <v>18</v>
      </c>
      <c r="G50" s="168"/>
      <c r="H50" s="38"/>
      <c r="I50" s="175">
        <f t="shared" si="5"/>
        <v>40</v>
      </c>
      <c r="J50" s="176"/>
      <c r="M50" s="166" t="s">
        <v>18</v>
      </c>
      <c r="N50" s="166"/>
      <c r="O50" s="41"/>
      <c r="P50" s="40">
        <f t="shared" si="6"/>
        <v>40</v>
      </c>
      <c r="Q50" s="167" t="s">
        <v>18</v>
      </c>
      <c r="R50" s="168"/>
      <c r="S50" s="38"/>
      <c r="T50" s="175">
        <f t="shared" si="7"/>
        <v>40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40</v>
      </c>
      <c r="F51" s="167" t="s">
        <v>18</v>
      </c>
      <c r="G51" s="168"/>
      <c r="H51" s="38"/>
      <c r="I51" s="175">
        <f t="shared" si="5"/>
        <v>40</v>
      </c>
      <c r="J51" s="176"/>
      <c r="M51" s="166" t="s">
        <v>18</v>
      </c>
      <c r="N51" s="166"/>
      <c r="O51" s="41"/>
      <c r="P51" s="40">
        <f t="shared" si="6"/>
        <v>40</v>
      </c>
      <c r="Q51" s="167" t="s">
        <v>18</v>
      </c>
      <c r="R51" s="168"/>
      <c r="S51" s="38"/>
      <c r="T51" s="175">
        <f t="shared" si="7"/>
        <v>40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40</v>
      </c>
      <c r="C55" s="178"/>
      <c r="D55" s="34"/>
      <c r="E55" s="35">
        <f>B55+D55</f>
        <v>40</v>
      </c>
      <c r="F55" s="177">
        <f>$E$19</f>
        <v>40</v>
      </c>
      <c r="G55" s="178"/>
      <c r="H55" s="34"/>
      <c r="I55" s="175">
        <f>F55+H55</f>
        <v>40</v>
      </c>
      <c r="J55" s="176"/>
      <c r="M55" s="179">
        <f>$E$18</f>
        <v>40</v>
      </c>
      <c r="N55" s="180"/>
      <c r="O55" s="36"/>
      <c r="P55" s="37">
        <f>M55+O55</f>
        <v>40</v>
      </c>
      <c r="Q55" s="179">
        <f>$E$19</f>
        <v>40</v>
      </c>
      <c r="R55" s="180"/>
      <c r="S55" s="36"/>
      <c r="T55" s="181">
        <f>Q55+S55</f>
        <v>40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40</v>
      </c>
      <c r="F57" s="167" t="s">
        <v>16</v>
      </c>
      <c r="G57" s="168"/>
      <c r="H57" s="34"/>
      <c r="I57" s="175">
        <f t="shared" ref="I57:I64" si="9">$E$21+H57</f>
        <v>40</v>
      </c>
      <c r="J57" s="176"/>
      <c r="M57" s="166" t="s">
        <v>17</v>
      </c>
      <c r="N57" s="166"/>
      <c r="O57" s="39"/>
      <c r="P57" s="40">
        <f t="shared" ref="P57:P64" si="10">$E$20+O57</f>
        <v>40</v>
      </c>
      <c r="Q57" s="167" t="s">
        <v>17</v>
      </c>
      <c r="R57" s="168"/>
      <c r="S57" s="34"/>
      <c r="T57" s="175">
        <f t="shared" ref="T57:T64" si="11">$E$21+S57</f>
        <v>40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40</v>
      </c>
      <c r="F58" s="167" t="s">
        <v>18</v>
      </c>
      <c r="G58" s="168"/>
      <c r="H58" s="38"/>
      <c r="I58" s="175">
        <f t="shared" si="9"/>
        <v>40</v>
      </c>
      <c r="J58" s="176"/>
      <c r="M58" s="166" t="s">
        <v>18</v>
      </c>
      <c r="N58" s="166"/>
      <c r="O58" s="41"/>
      <c r="P58" s="40">
        <f t="shared" si="10"/>
        <v>40</v>
      </c>
      <c r="Q58" s="167" t="s">
        <v>18</v>
      </c>
      <c r="R58" s="168"/>
      <c r="S58" s="38"/>
      <c r="T58" s="175">
        <f t="shared" si="11"/>
        <v>40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40</v>
      </c>
      <c r="F59" s="167" t="s">
        <v>18</v>
      </c>
      <c r="G59" s="168"/>
      <c r="H59" s="38"/>
      <c r="I59" s="175">
        <f t="shared" si="9"/>
        <v>40</v>
      </c>
      <c r="J59" s="176"/>
      <c r="M59" s="166" t="s">
        <v>18</v>
      </c>
      <c r="N59" s="166"/>
      <c r="O59" s="41"/>
      <c r="P59" s="40">
        <f t="shared" si="10"/>
        <v>40</v>
      </c>
      <c r="Q59" s="167" t="s">
        <v>18</v>
      </c>
      <c r="R59" s="168"/>
      <c r="S59" s="38"/>
      <c r="T59" s="175">
        <f t="shared" si="11"/>
        <v>40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40</v>
      </c>
      <c r="F60" s="167" t="s">
        <v>18</v>
      </c>
      <c r="G60" s="168"/>
      <c r="H60" s="38"/>
      <c r="I60" s="175">
        <f t="shared" si="9"/>
        <v>40</v>
      </c>
      <c r="J60" s="176"/>
      <c r="M60" s="166" t="s">
        <v>19</v>
      </c>
      <c r="N60" s="166"/>
      <c r="O60" s="41"/>
      <c r="P60" s="40">
        <f t="shared" si="10"/>
        <v>40</v>
      </c>
      <c r="Q60" s="167" t="s">
        <v>18</v>
      </c>
      <c r="R60" s="168"/>
      <c r="S60" s="38"/>
      <c r="T60" s="175">
        <f t="shared" si="11"/>
        <v>40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40</v>
      </c>
      <c r="F61" s="167" t="s">
        <v>18</v>
      </c>
      <c r="G61" s="168"/>
      <c r="H61" s="38"/>
      <c r="I61" s="175">
        <f t="shared" si="9"/>
        <v>40</v>
      </c>
      <c r="J61" s="176"/>
      <c r="M61" s="166" t="s">
        <v>18</v>
      </c>
      <c r="N61" s="166"/>
      <c r="O61" s="41"/>
      <c r="P61" s="40">
        <f t="shared" si="10"/>
        <v>40</v>
      </c>
      <c r="Q61" s="167" t="s">
        <v>18</v>
      </c>
      <c r="R61" s="168"/>
      <c r="S61" s="38"/>
      <c r="T61" s="175">
        <f t="shared" si="11"/>
        <v>40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40</v>
      </c>
      <c r="F62" s="167" t="s">
        <v>18</v>
      </c>
      <c r="G62" s="168"/>
      <c r="H62" s="38"/>
      <c r="I62" s="175">
        <f t="shared" si="9"/>
        <v>40</v>
      </c>
      <c r="J62" s="176"/>
      <c r="M62" s="166" t="s">
        <v>18</v>
      </c>
      <c r="N62" s="166"/>
      <c r="O62" s="41"/>
      <c r="P62" s="40">
        <f t="shared" si="10"/>
        <v>40</v>
      </c>
      <c r="Q62" s="167" t="s">
        <v>18</v>
      </c>
      <c r="R62" s="168"/>
      <c r="S62" s="38"/>
      <c r="T62" s="175">
        <f t="shared" si="11"/>
        <v>40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40</v>
      </c>
      <c r="F63" s="167" t="s">
        <v>18</v>
      </c>
      <c r="G63" s="168"/>
      <c r="H63" s="38"/>
      <c r="I63" s="175">
        <f t="shared" si="9"/>
        <v>40</v>
      </c>
      <c r="J63" s="176"/>
      <c r="M63" s="166" t="s">
        <v>18</v>
      </c>
      <c r="N63" s="166"/>
      <c r="O63" s="41"/>
      <c r="P63" s="40">
        <f t="shared" si="10"/>
        <v>40</v>
      </c>
      <c r="Q63" s="167" t="s">
        <v>18</v>
      </c>
      <c r="R63" s="168"/>
      <c r="S63" s="38"/>
      <c r="T63" s="175">
        <f t="shared" si="11"/>
        <v>40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40</v>
      </c>
      <c r="F64" s="167" t="s">
        <v>18</v>
      </c>
      <c r="G64" s="168"/>
      <c r="H64" s="38"/>
      <c r="I64" s="175">
        <f t="shared" si="9"/>
        <v>40</v>
      </c>
      <c r="J64" s="176"/>
      <c r="M64" s="166" t="s">
        <v>18</v>
      </c>
      <c r="N64" s="166"/>
      <c r="O64" s="41"/>
      <c r="P64" s="40">
        <f t="shared" si="10"/>
        <v>40</v>
      </c>
      <c r="Q64" s="167" t="s">
        <v>18</v>
      </c>
      <c r="R64" s="168"/>
      <c r="S64" s="38"/>
      <c r="T64" s="175">
        <f t="shared" si="11"/>
        <v>40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AC81-3DF8-4484-AE3A-DF0C1660EA5C}">
  <sheetPr>
    <tabColor rgb="FFFF0000"/>
  </sheetPr>
  <dimension ref="A1:BW63"/>
  <sheetViews>
    <sheetView workbookViewId="0">
      <pane ySplit="2" topLeftCell="A10" activePane="bottomLeft" state="frozen"/>
      <selection pane="bottomLeft" activeCell="B8" sqref="B8"/>
    </sheetView>
  </sheetViews>
  <sheetFormatPr defaultRowHeight="15" x14ac:dyDescent="0.25"/>
  <cols>
    <col min="1" max="1" width="11.140625" style="4" customWidth="1"/>
    <col min="2" max="2" width="23.7109375" style="21" bestFit="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7.2851562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75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7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</row>
    <row r="3" spans="1:75" s="49" customFormat="1" x14ac:dyDescent="0.25">
      <c r="A3" s="46" t="s">
        <v>426</v>
      </c>
      <c r="B3" s="64" t="s">
        <v>512</v>
      </c>
      <c r="C3" s="46">
        <v>4746001001</v>
      </c>
      <c r="D3" s="47">
        <v>46043</v>
      </c>
      <c r="E3" s="46">
        <v>90932</v>
      </c>
      <c r="F3" s="46" t="s">
        <v>513</v>
      </c>
      <c r="G3" s="46">
        <v>3</v>
      </c>
      <c r="H3" s="46">
        <v>54732</v>
      </c>
      <c r="I3" s="46" t="s">
        <v>514</v>
      </c>
      <c r="J3" s="46" t="s">
        <v>103</v>
      </c>
      <c r="K3" s="46">
        <v>1</v>
      </c>
      <c r="L3" s="46">
        <v>10104</v>
      </c>
      <c r="M3" s="48">
        <v>0.72222222222222221</v>
      </c>
      <c r="N3" s="46">
        <v>1</v>
      </c>
      <c r="O3" s="46">
        <v>1</v>
      </c>
      <c r="P3" s="46">
        <v>1</v>
      </c>
      <c r="Q3" s="46">
        <v>1</v>
      </c>
      <c r="R3" s="46" t="s">
        <v>515</v>
      </c>
      <c r="S3" s="48">
        <v>0.69166666666666665</v>
      </c>
      <c r="T3" s="46">
        <v>1</v>
      </c>
      <c r="U3" s="46">
        <v>1</v>
      </c>
      <c r="V3" s="64">
        <v>4</v>
      </c>
      <c r="W3" s="46">
        <v>4</v>
      </c>
      <c r="X3" s="46" t="s">
        <v>516</v>
      </c>
      <c r="Y3" s="48">
        <v>0.72916666666666663</v>
      </c>
      <c r="Z3" s="46">
        <v>1</v>
      </c>
      <c r="AA3" s="46">
        <v>1</v>
      </c>
      <c r="AB3" s="46">
        <v>2</v>
      </c>
      <c r="AC3" s="46">
        <v>2</v>
      </c>
      <c r="AD3" s="46" t="s">
        <v>517</v>
      </c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W3" s="49" t="s">
        <v>421</v>
      </c>
    </row>
    <row r="4" spans="1:75" s="49" customFormat="1" x14ac:dyDescent="0.25">
      <c r="A4" s="46" t="s">
        <v>426</v>
      </c>
      <c r="B4" s="64"/>
      <c r="C4" s="46">
        <v>4737101002</v>
      </c>
      <c r="D4" s="47">
        <v>46043</v>
      </c>
      <c r="E4" s="46">
        <v>91580</v>
      </c>
      <c r="F4" s="46" t="s">
        <v>397</v>
      </c>
      <c r="G4" s="46">
        <v>1</v>
      </c>
      <c r="H4" s="46">
        <v>54896</v>
      </c>
      <c r="I4" s="46" t="s">
        <v>398</v>
      </c>
      <c r="J4" s="46" t="s">
        <v>399</v>
      </c>
      <c r="K4" s="46">
        <v>15</v>
      </c>
      <c r="L4" s="46">
        <v>10103</v>
      </c>
      <c r="M4" s="46"/>
      <c r="N4" s="46">
        <f>O4</f>
        <v>5</v>
      </c>
      <c r="O4" s="46">
        <v>5</v>
      </c>
      <c r="P4" s="46">
        <v>2</v>
      </c>
      <c r="Q4" s="46">
        <v>4</v>
      </c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W4" s="135" t="s">
        <v>428</v>
      </c>
    </row>
    <row r="5" spans="1:75" s="49" customFormat="1" x14ac:dyDescent="0.25">
      <c r="A5" s="46" t="s">
        <v>428</v>
      </c>
      <c r="B5" s="64" t="s">
        <v>518</v>
      </c>
      <c r="C5" s="46">
        <v>4737101003</v>
      </c>
      <c r="D5" s="47">
        <v>46043</v>
      </c>
      <c r="E5" s="46">
        <v>91580</v>
      </c>
      <c r="F5" s="46" t="s">
        <v>397</v>
      </c>
      <c r="G5" s="46">
        <v>1</v>
      </c>
      <c r="H5" s="46">
        <v>54897</v>
      </c>
      <c r="I5" s="46" t="s">
        <v>443</v>
      </c>
      <c r="J5" s="46" t="s">
        <v>399</v>
      </c>
      <c r="K5" s="46">
        <v>16</v>
      </c>
      <c r="L5" s="46">
        <v>10103</v>
      </c>
      <c r="M5" s="48">
        <v>0.57638888888888884</v>
      </c>
      <c r="N5" s="46">
        <v>27</v>
      </c>
      <c r="O5" s="46">
        <v>48</v>
      </c>
      <c r="P5" s="46">
        <v>18</v>
      </c>
      <c r="Q5" s="46">
        <v>19</v>
      </c>
      <c r="R5" s="46"/>
      <c r="S5" s="46"/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W5" s="49" t="s">
        <v>430</v>
      </c>
    </row>
    <row r="6" spans="1:75" s="49" customFormat="1" x14ac:dyDescent="0.25">
      <c r="A6" s="46" t="s">
        <v>421</v>
      </c>
      <c r="B6" s="64"/>
      <c r="C6" s="46">
        <v>4737101004</v>
      </c>
      <c r="D6" s="47">
        <v>46043</v>
      </c>
      <c r="E6" s="46">
        <v>91580</v>
      </c>
      <c r="F6" s="46" t="s">
        <v>397</v>
      </c>
      <c r="G6" s="46">
        <v>1</v>
      </c>
      <c r="H6" s="46">
        <v>54898</v>
      </c>
      <c r="I6" s="46" t="s">
        <v>415</v>
      </c>
      <c r="J6" s="46" t="s">
        <v>399</v>
      </c>
      <c r="K6" s="46">
        <v>18</v>
      </c>
      <c r="L6" s="46">
        <v>10103</v>
      </c>
      <c r="M6" s="46" t="s">
        <v>519</v>
      </c>
      <c r="N6" s="46">
        <v>50</v>
      </c>
      <c r="O6" s="46">
        <v>30</v>
      </c>
      <c r="P6" s="46">
        <v>44</v>
      </c>
      <c r="Q6" s="46">
        <v>44</v>
      </c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</row>
    <row r="7" spans="1:75" s="49" customFormat="1" x14ac:dyDescent="0.25">
      <c r="A7" s="46" t="s">
        <v>421</v>
      </c>
      <c r="B7" s="64" t="s">
        <v>520</v>
      </c>
      <c r="C7" s="46">
        <v>4747301001</v>
      </c>
      <c r="D7" s="47">
        <v>46043</v>
      </c>
      <c r="E7" s="46">
        <v>94480</v>
      </c>
      <c r="F7" s="46" t="s">
        <v>460</v>
      </c>
      <c r="G7" s="46">
        <v>1</v>
      </c>
      <c r="H7" s="46">
        <v>57804</v>
      </c>
      <c r="I7" s="46" t="s">
        <v>521</v>
      </c>
      <c r="J7" s="46" t="s">
        <v>106</v>
      </c>
      <c r="K7" s="46">
        <v>1</v>
      </c>
      <c r="L7" s="46">
        <v>10106</v>
      </c>
      <c r="M7" s="48">
        <v>0.59375</v>
      </c>
      <c r="N7" s="46">
        <v>42</v>
      </c>
      <c r="O7" s="46">
        <v>42</v>
      </c>
      <c r="P7" s="46">
        <v>47</v>
      </c>
      <c r="Q7" s="46">
        <v>50</v>
      </c>
      <c r="R7" s="46"/>
      <c r="S7" s="46"/>
      <c r="T7" s="46"/>
      <c r="U7" s="46"/>
      <c r="V7" s="64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</row>
    <row r="8" spans="1:75" s="49" customFormat="1" x14ac:dyDescent="0.25">
      <c r="A8" s="46" t="s">
        <v>421</v>
      </c>
      <c r="B8" s="64"/>
      <c r="C8" s="46">
        <v>4741101001</v>
      </c>
      <c r="D8" s="47">
        <v>46043</v>
      </c>
      <c r="E8" s="46">
        <v>94728</v>
      </c>
      <c r="F8" s="46" t="s">
        <v>176</v>
      </c>
      <c r="G8" s="46">
        <v>2</v>
      </c>
      <c r="H8" s="46">
        <v>57485</v>
      </c>
      <c r="I8" s="46" t="s">
        <v>178</v>
      </c>
      <c r="J8" s="46" t="s">
        <v>103</v>
      </c>
      <c r="K8" s="46">
        <v>1</v>
      </c>
      <c r="L8" s="46">
        <v>10103</v>
      </c>
      <c r="M8" s="48">
        <v>0.61111111111111116</v>
      </c>
      <c r="N8" s="46"/>
      <c r="O8" s="46"/>
      <c r="P8" s="46">
        <v>21</v>
      </c>
      <c r="Q8" s="46">
        <v>30</v>
      </c>
      <c r="R8" s="46" t="s">
        <v>522</v>
      </c>
      <c r="S8" s="48">
        <v>0.63888888888888884</v>
      </c>
      <c r="T8" s="46"/>
      <c r="U8" s="46"/>
      <c r="V8" s="64">
        <v>39</v>
      </c>
      <c r="W8" s="46">
        <v>50</v>
      </c>
      <c r="X8" s="46" t="s">
        <v>523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</row>
    <row r="9" spans="1:75" s="49" customFormat="1" x14ac:dyDescent="0.25">
      <c r="A9" s="46" t="s">
        <v>421</v>
      </c>
      <c r="B9" s="64" t="s">
        <v>524</v>
      </c>
      <c r="C9" s="46">
        <v>4741101002</v>
      </c>
      <c r="D9" s="47">
        <v>46043</v>
      </c>
      <c r="E9" s="46">
        <v>94728</v>
      </c>
      <c r="F9" s="46" t="s">
        <v>176</v>
      </c>
      <c r="G9" s="46">
        <v>2</v>
      </c>
      <c r="H9" s="46">
        <v>57486</v>
      </c>
      <c r="I9" s="46" t="s">
        <v>178</v>
      </c>
      <c r="J9" s="46" t="s">
        <v>103</v>
      </c>
      <c r="K9" s="46">
        <v>2</v>
      </c>
      <c r="L9" s="46">
        <v>10103</v>
      </c>
      <c r="M9" s="46" t="s">
        <v>525</v>
      </c>
      <c r="N9" s="46"/>
      <c r="O9" s="46"/>
      <c r="P9" s="46">
        <v>50</v>
      </c>
      <c r="Q9" s="46">
        <v>45</v>
      </c>
      <c r="R9" s="46" t="s">
        <v>526</v>
      </c>
      <c r="S9" s="46" t="s">
        <v>527</v>
      </c>
      <c r="T9" s="46"/>
      <c r="U9" s="46"/>
      <c r="V9" s="64">
        <v>50</v>
      </c>
      <c r="W9" s="46">
        <v>50</v>
      </c>
      <c r="X9" s="46" t="s">
        <v>528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</row>
    <row r="10" spans="1:75" s="108" customFormat="1" x14ac:dyDescent="0.25">
      <c r="A10" s="109"/>
      <c r="B10" s="110"/>
      <c r="C10" s="109">
        <v>4746301008</v>
      </c>
      <c r="D10" s="126">
        <v>46043</v>
      </c>
      <c r="E10" s="109">
        <v>94791</v>
      </c>
      <c r="F10" s="109" t="s">
        <v>529</v>
      </c>
      <c r="G10" s="109">
        <v>1</v>
      </c>
      <c r="H10" s="109">
        <v>57528</v>
      </c>
      <c r="I10" s="109" t="s">
        <v>530</v>
      </c>
      <c r="J10" s="109" t="s">
        <v>99</v>
      </c>
      <c r="K10" s="109">
        <v>8</v>
      </c>
      <c r="L10" s="109">
        <v>10105</v>
      </c>
      <c r="M10" s="109"/>
      <c r="N10" s="109"/>
      <c r="O10" s="109"/>
      <c r="P10" s="109"/>
      <c r="Q10" s="109"/>
      <c r="R10" s="109"/>
      <c r="S10" s="109"/>
      <c r="T10" s="109"/>
      <c r="U10" s="109"/>
      <c r="V10" s="110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</row>
    <row r="11" spans="1:75" s="49" customFormat="1" x14ac:dyDescent="0.25">
      <c r="A11" s="46" t="s">
        <v>426</v>
      </c>
      <c r="B11" s="64"/>
      <c r="C11" s="46">
        <v>4748601001</v>
      </c>
      <c r="D11" s="47">
        <v>46043</v>
      </c>
      <c r="E11" s="46">
        <v>94813</v>
      </c>
      <c r="F11" s="46" t="s">
        <v>269</v>
      </c>
      <c r="G11" s="46">
        <v>2</v>
      </c>
      <c r="H11" s="46">
        <v>58018</v>
      </c>
      <c r="I11" s="46" t="s">
        <v>531</v>
      </c>
      <c r="J11" s="46" t="s">
        <v>103</v>
      </c>
      <c r="K11" s="46">
        <v>1</v>
      </c>
      <c r="L11" s="46">
        <v>10104</v>
      </c>
      <c r="M11" s="48">
        <v>0.52847222222222223</v>
      </c>
      <c r="N11" s="46">
        <v>2</v>
      </c>
      <c r="O11" s="46">
        <v>2</v>
      </c>
      <c r="P11" s="46">
        <v>2</v>
      </c>
      <c r="Q11" s="46">
        <v>5</v>
      </c>
      <c r="R11" s="46" t="s">
        <v>532</v>
      </c>
      <c r="S11" s="48">
        <v>0.53194444444444444</v>
      </c>
      <c r="T11" s="46">
        <v>2</v>
      </c>
      <c r="U11" s="46">
        <v>2</v>
      </c>
      <c r="V11" s="64">
        <v>4</v>
      </c>
      <c r="W11" s="46">
        <v>4</v>
      </c>
      <c r="X11" s="46" t="s">
        <v>533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</row>
    <row r="12" spans="1:75" s="49" customFormat="1" x14ac:dyDescent="0.25">
      <c r="A12" s="46" t="s">
        <v>426</v>
      </c>
      <c r="B12" s="64"/>
      <c r="C12" s="46">
        <v>4748601002</v>
      </c>
      <c r="D12" s="47">
        <v>46043</v>
      </c>
      <c r="E12" s="46">
        <v>94813</v>
      </c>
      <c r="F12" s="46" t="s">
        <v>269</v>
      </c>
      <c r="G12" s="46">
        <v>2</v>
      </c>
      <c r="H12" s="46">
        <v>58022</v>
      </c>
      <c r="I12" s="46" t="s">
        <v>534</v>
      </c>
      <c r="J12" s="46" t="s">
        <v>103</v>
      </c>
      <c r="K12" s="46">
        <v>2</v>
      </c>
      <c r="L12" s="46">
        <v>10104</v>
      </c>
      <c r="M12" s="48">
        <v>0.43402777777777779</v>
      </c>
      <c r="N12" s="46">
        <v>3</v>
      </c>
      <c r="O12" s="46">
        <v>3</v>
      </c>
      <c r="P12" s="46">
        <v>5</v>
      </c>
      <c r="Q12" s="46">
        <v>4</v>
      </c>
      <c r="R12" s="48" t="s">
        <v>535</v>
      </c>
      <c r="S12" s="48">
        <v>0.42638888888888887</v>
      </c>
      <c r="T12" s="46">
        <v>3</v>
      </c>
      <c r="U12" s="46">
        <v>3</v>
      </c>
      <c r="V12" s="64">
        <v>3</v>
      </c>
      <c r="W12" s="46">
        <v>3</v>
      </c>
      <c r="X12" s="46" t="s">
        <v>536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</row>
    <row r="13" spans="1:75" s="49" customFormat="1" x14ac:dyDescent="0.25">
      <c r="A13" s="62" t="s">
        <v>421</v>
      </c>
      <c r="B13" s="64"/>
      <c r="C13" s="46">
        <v>4733501004</v>
      </c>
      <c r="D13" s="47">
        <v>46052</v>
      </c>
      <c r="E13" s="46">
        <v>91610</v>
      </c>
      <c r="F13" s="46" t="s">
        <v>397</v>
      </c>
      <c r="G13" s="46">
        <v>1</v>
      </c>
      <c r="H13" s="46">
        <v>54898</v>
      </c>
      <c r="I13" s="46" t="s">
        <v>415</v>
      </c>
      <c r="J13" s="46" t="s">
        <v>399</v>
      </c>
      <c r="K13" s="46">
        <v>20</v>
      </c>
      <c r="L13" s="46">
        <v>10103</v>
      </c>
      <c r="M13" s="46" t="s">
        <v>537</v>
      </c>
      <c r="N13" s="46">
        <v>50</v>
      </c>
      <c r="O13" s="46">
        <v>50</v>
      </c>
      <c r="P13" s="46">
        <v>31</v>
      </c>
      <c r="Q13" s="46">
        <v>31</v>
      </c>
      <c r="R13" s="46"/>
      <c r="S13" s="46"/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</row>
    <row r="14" spans="1:75" s="49" customFormat="1" x14ac:dyDescent="0.25">
      <c r="A14" s="46" t="s">
        <v>426</v>
      </c>
      <c r="B14" s="64"/>
      <c r="C14" s="46">
        <v>4741001001</v>
      </c>
      <c r="D14" s="46">
        <v>46042</v>
      </c>
      <c r="E14" s="46">
        <v>94715</v>
      </c>
      <c r="F14" s="46" t="s">
        <v>473</v>
      </c>
      <c r="G14" s="46">
        <v>5</v>
      </c>
      <c r="H14" s="46">
        <v>57585</v>
      </c>
      <c r="I14" s="46" t="s">
        <v>474</v>
      </c>
      <c r="J14" s="46" t="s">
        <v>120</v>
      </c>
      <c r="K14" s="46"/>
      <c r="L14" s="46"/>
      <c r="M14" s="46"/>
      <c r="N14" s="46">
        <v>1</v>
      </c>
      <c r="O14" s="46">
        <v>2</v>
      </c>
      <c r="P14" s="46">
        <v>3</v>
      </c>
      <c r="Q14" s="46">
        <v>3</v>
      </c>
      <c r="R14" s="46" t="s">
        <v>501</v>
      </c>
      <c r="S14" s="46">
        <v>0.49305555555555558</v>
      </c>
      <c r="T14" s="46">
        <v>4</v>
      </c>
      <c r="U14" s="46">
        <v>4</v>
      </c>
      <c r="V14" s="64">
        <v>3</v>
      </c>
      <c r="W14" s="46">
        <v>3</v>
      </c>
      <c r="X14" s="46" t="s">
        <v>502</v>
      </c>
      <c r="Y14" s="46">
        <v>0.51111111111111107</v>
      </c>
      <c r="Z14" s="46">
        <v>6</v>
      </c>
      <c r="AA14" s="46">
        <v>2</v>
      </c>
      <c r="AB14" s="46">
        <v>5</v>
      </c>
      <c r="AC14" s="46">
        <v>5</v>
      </c>
      <c r="AD14" s="46" t="s">
        <v>503</v>
      </c>
      <c r="AE14" s="46">
        <v>0.47013888888888888</v>
      </c>
      <c r="AF14" s="46">
        <v>4</v>
      </c>
      <c r="AG14" s="46">
        <v>2</v>
      </c>
      <c r="AH14" s="46">
        <v>2</v>
      </c>
      <c r="AI14" s="46">
        <v>2</v>
      </c>
      <c r="AJ14" s="46" t="s">
        <v>504</v>
      </c>
      <c r="AK14" s="46">
        <v>0.51736111111111116</v>
      </c>
      <c r="AL14" s="46">
        <v>5</v>
      </c>
      <c r="AM14" s="46">
        <v>3</v>
      </c>
      <c r="AN14" s="46">
        <v>2</v>
      </c>
      <c r="AO14" s="46">
        <v>2</v>
      </c>
      <c r="AP14" s="46" t="s">
        <v>505</v>
      </c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</row>
    <row r="15" spans="1:75" s="49" customFormat="1" x14ac:dyDescent="0.25">
      <c r="A15" s="46" t="s">
        <v>421</v>
      </c>
      <c r="B15" s="64"/>
      <c r="C15" s="46">
        <v>4411001016</v>
      </c>
      <c r="D15" s="47">
        <v>46045</v>
      </c>
      <c r="E15" s="46">
        <v>90524</v>
      </c>
      <c r="F15" s="46" t="s">
        <v>271</v>
      </c>
      <c r="G15" s="46">
        <v>8</v>
      </c>
      <c r="H15" s="46">
        <v>17851</v>
      </c>
      <c r="I15" s="46" t="s">
        <v>471</v>
      </c>
      <c r="J15" s="46" t="s">
        <v>106</v>
      </c>
      <c r="K15" s="46">
        <v>33</v>
      </c>
      <c r="L15" s="46">
        <v>10108</v>
      </c>
      <c r="M15" s="48">
        <v>0.3888888888888889</v>
      </c>
      <c r="N15" s="46">
        <v>50</v>
      </c>
      <c r="O15" s="46">
        <v>50</v>
      </c>
      <c r="P15" s="46">
        <v>37</v>
      </c>
      <c r="Q15" s="46">
        <v>50</v>
      </c>
      <c r="R15" s="46"/>
      <c r="S15" s="46"/>
      <c r="T15" s="46">
        <v>44</v>
      </c>
      <c r="U15" s="46">
        <v>44</v>
      </c>
      <c r="V15" s="64">
        <v>43</v>
      </c>
      <c r="W15" s="46">
        <v>40</v>
      </c>
      <c r="X15" s="46"/>
      <c r="Y15" s="46"/>
      <c r="Z15" s="46">
        <v>38</v>
      </c>
      <c r="AA15" s="46">
        <v>38</v>
      </c>
      <c r="AB15" s="46">
        <v>28</v>
      </c>
      <c r="AC15" s="46">
        <v>25</v>
      </c>
      <c r="AD15" s="46"/>
      <c r="AE15" s="46"/>
      <c r="AF15" s="46">
        <v>38</v>
      </c>
      <c r="AG15" s="46">
        <v>38</v>
      </c>
      <c r="AH15" s="46">
        <v>21</v>
      </c>
      <c r="AI15" s="46">
        <v>50</v>
      </c>
      <c r="AJ15" s="46"/>
      <c r="AK15" s="46"/>
      <c r="AL15" s="46">
        <v>36</v>
      </c>
      <c r="AM15" s="46">
        <v>36</v>
      </c>
      <c r="AN15" s="46">
        <v>11</v>
      </c>
      <c r="AO15" s="46">
        <v>26</v>
      </c>
      <c r="AP15" s="46"/>
      <c r="AQ15" s="46"/>
      <c r="AR15" s="46">
        <v>11</v>
      </c>
      <c r="AS15" s="46">
        <v>11</v>
      </c>
      <c r="AT15" s="46">
        <v>41</v>
      </c>
      <c r="AU15" s="46">
        <v>37</v>
      </c>
      <c r="AV15" s="46"/>
      <c r="AW15" s="46"/>
      <c r="AX15" s="46">
        <v>20</v>
      </c>
      <c r="AY15" s="46">
        <v>20</v>
      </c>
      <c r="AZ15" s="46">
        <v>27</v>
      </c>
      <c r="BA15" s="46">
        <v>37</v>
      </c>
      <c r="BB15" s="46"/>
      <c r="BC15" s="46"/>
      <c r="BD15" s="46">
        <v>18</v>
      </c>
      <c r="BE15" s="46">
        <v>18</v>
      </c>
      <c r="BF15" s="46">
        <v>50</v>
      </c>
      <c r="BG15" s="46">
        <v>50</v>
      </c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</row>
    <row r="16" spans="1:75" x14ac:dyDescent="0.25">
      <c r="A16" s="62"/>
      <c r="V16" s="21"/>
    </row>
    <row r="17" spans="1:22" x14ac:dyDescent="0.25">
      <c r="A17" s="62"/>
      <c r="V17" s="21"/>
    </row>
    <row r="18" spans="1:22" x14ac:dyDescent="0.25">
      <c r="A18" s="62"/>
      <c r="V18" s="21"/>
    </row>
    <row r="19" spans="1:22" x14ac:dyDescent="0.25">
      <c r="A19" s="62"/>
      <c r="V19" s="21"/>
    </row>
    <row r="20" spans="1:22" x14ac:dyDescent="0.25">
      <c r="A20" s="62"/>
      <c r="V20" s="21"/>
    </row>
    <row r="21" spans="1:22" x14ac:dyDescent="0.25">
      <c r="A21" s="62"/>
      <c r="V21" s="21"/>
    </row>
    <row r="22" spans="1:22" x14ac:dyDescent="0.25">
      <c r="A22" s="62"/>
      <c r="V22" s="21"/>
    </row>
    <row r="23" spans="1:22" x14ac:dyDescent="0.25">
      <c r="A23" s="62"/>
      <c r="V23" s="21"/>
    </row>
    <row r="24" spans="1:22" x14ac:dyDescent="0.25">
      <c r="A24" s="62"/>
      <c r="V24" s="21"/>
    </row>
    <row r="25" spans="1:22" x14ac:dyDescent="0.25">
      <c r="A25" s="62"/>
      <c r="V25" s="21"/>
    </row>
    <row r="26" spans="1:22" x14ac:dyDescent="0.25">
      <c r="A26" s="62"/>
      <c r="B26" s="11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</row>
    <row r="27" spans="1:22" x14ac:dyDescent="0.25">
      <c r="A27" s="62"/>
    </row>
    <row r="28" spans="1:22" x14ac:dyDescent="0.25">
      <c r="A28" s="62"/>
    </row>
    <row r="29" spans="1:22" x14ac:dyDescent="0.25">
      <c r="A29" s="62"/>
    </row>
    <row r="30" spans="1:22" x14ac:dyDescent="0.25">
      <c r="A30" s="62"/>
    </row>
    <row r="31" spans="1:22" x14ac:dyDescent="0.25">
      <c r="A31" s="62"/>
    </row>
    <row r="32" spans="1:22" x14ac:dyDescent="0.25">
      <c r="A32" s="62"/>
    </row>
    <row r="33" spans="1:1" x14ac:dyDescent="0.25">
      <c r="A33" s="62"/>
    </row>
    <row r="34" spans="1:1" x14ac:dyDescent="0.25">
      <c r="A34" s="62"/>
    </row>
    <row r="35" spans="1:1" x14ac:dyDescent="0.25">
      <c r="A35" s="62"/>
    </row>
    <row r="36" spans="1:1" x14ac:dyDescent="0.25">
      <c r="A36" s="62"/>
    </row>
    <row r="37" spans="1:1" x14ac:dyDescent="0.25">
      <c r="A37" s="62"/>
    </row>
    <row r="38" spans="1:1" x14ac:dyDescent="0.25">
      <c r="A38" s="62"/>
    </row>
    <row r="39" spans="1:1" x14ac:dyDescent="0.25">
      <c r="A39" s="62"/>
    </row>
    <row r="40" spans="1:1" x14ac:dyDescent="0.25">
      <c r="A40" s="62"/>
    </row>
    <row r="41" spans="1:1" x14ac:dyDescent="0.25">
      <c r="A41" s="62"/>
    </row>
    <row r="42" spans="1:1" x14ac:dyDescent="0.25">
      <c r="A42" s="62"/>
    </row>
    <row r="43" spans="1:1" x14ac:dyDescent="0.25">
      <c r="A43" s="62"/>
    </row>
    <row r="44" spans="1:1" x14ac:dyDescent="0.25">
      <c r="A44" s="62"/>
    </row>
    <row r="45" spans="1:1" x14ac:dyDescent="0.25">
      <c r="A45" s="62"/>
    </row>
    <row r="46" spans="1:1" x14ac:dyDescent="0.25">
      <c r="A46" s="62"/>
    </row>
    <row r="47" spans="1:1" x14ac:dyDescent="0.25">
      <c r="A47" s="62"/>
    </row>
    <row r="48" spans="1:1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  <row r="52" spans="1:1" x14ac:dyDescent="0.25">
      <c r="A52" s="62"/>
    </row>
    <row r="53" spans="1:1" x14ac:dyDescent="0.25">
      <c r="A53" s="62"/>
    </row>
    <row r="54" spans="1:1" x14ac:dyDescent="0.25">
      <c r="A54" s="62"/>
    </row>
    <row r="55" spans="1:1" x14ac:dyDescent="0.25">
      <c r="A55" s="62"/>
    </row>
    <row r="56" spans="1:1" x14ac:dyDescent="0.25">
      <c r="A56" s="62"/>
    </row>
    <row r="57" spans="1:1" x14ac:dyDescent="0.25">
      <c r="A57" s="62"/>
    </row>
    <row r="58" spans="1:1" x14ac:dyDescent="0.25">
      <c r="A58" s="62"/>
    </row>
    <row r="59" spans="1:1" x14ac:dyDescent="0.25">
      <c r="A59" s="62"/>
    </row>
    <row r="60" spans="1:1" x14ac:dyDescent="0.25">
      <c r="A60" s="62"/>
    </row>
    <row r="61" spans="1:1" x14ac:dyDescent="0.25">
      <c r="A61" s="62"/>
    </row>
    <row r="62" spans="1:1" x14ac:dyDescent="0.25">
      <c r="A62" s="62"/>
    </row>
    <row r="63" spans="1:1" x14ac:dyDescent="0.25">
      <c r="A63" s="62"/>
    </row>
  </sheetData>
  <mergeCells count="2">
    <mergeCell ref="A1:E1"/>
    <mergeCell ref="G1:H1"/>
  </mergeCells>
  <conditionalFormatting sqref="A3:A63">
    <cfRule type="containsText" dxfId="23" priority="1" operator="containsText" text="PEDRO">
      <formula>NOT(ISERROR(SEARCH("PEDRO",A3)))</formula>
    </cfRule>
    <cfRule type="containsText" dxfId="22" priority="2" operator="containsText" text="YGOR">
      <formula>NOT(ISERROR(SEARCH("YGOR",A3)))</formula>
    </cfRule>
    <cfRule type="containsText" dxfId="21" priority="3" operator="containsText" text="ALEXANDRE">
      <formula>NOT(ISERROR(SEARCH("ALEXANDRE",A3)))</formula>
    </cfRule>
    <cfRule type="containsText" dxfId="20" priority="4" operator="containsText" text="LILIAN">
      <formula>NOT(ISERROR(SEARCH("LILIAN",A3)))</formula>
    </cfRule>
  </conditionalFormatting>
  <conditionalFormatting sqref="J1:J1048576">
    <cfRule type="containsText" dxfId="19" priority="5" operator="containsText" text="ALFA TRANSPORTES">
      <formula>NOT(ISERROR(SEARCH("ALFA TRANSPORTES",J1)))</formula>
    </cfRule>
    <cfRule type="containsText" dxfId="18" priority="6" operator="containsText" text="NEW BIGTRANS">
      <formula>NOT(ISERROR(SEARCH("NEW BIGTRANS",J1)))</formula>
    </cfRule>
    <cfRule type="containsText" dxfId="17" priority="7" operator="containsText" text="EXPRESSO SAO MIGUEL">
      <formula>NOT(ISERROR(SEARCH("EXPRESSO SAO MIGUEL",J1)))</formula>
    </cfRule>
    <cfRule type="containsText" dxfId="16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63" xr:uid="{C70D2069-C91F-46C6-B4CC-C6EB948FC910}">
      <formula1>$BW$3:$BW$5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E58F-5417-4043-A999-B2BED11C5B0F}">
  <sheetPr>
    <tabColor rgb="FFFF0000"/>
  </sheetPr>
  <dimension ref="A1:BW50"/>
  <sheetViews>
    <sheetView workbookViewId="0">
      <pane ySplit="2" topLeftCell="A3" activePane="bottomLeft" state="frozen"/>
      <selection pane="bottomLeft" activeCell="J1" sqref="J1"/>
    </sheetView>
  </sheetViews>
  <sheetFormatPr defaultRowHeight="15" x14ac:dyDescent="0.25"/>
  <cols>
    <col min="1" max="1" width="13.7109375" style="4" customWidth="1"/>
    <col min="2" max="2" width="17.140625" style="21" customWidth="1"/>
    <col min="3" max="3" width="15.28515625" style="4" customWidth="1"/>
    <col min="4" max="4" width="11.28515625" style="4" customWidth="1"/>
    <col min="5" max="5" width="9" style="4" customWidth="1"/>
    <col min="6" max="6" width="34" style="4" customWidth="1"/>
    <col min="7" max="7" width="6.28515625" style="4" customWidth="1"/>
    <col min="8" max="8" width="12.4257812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75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7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</row>
    <row r="3" spans="1:75" s="49" customFormat="1" x14ac:dyDescent="0.25">
      <c r="A3" s="46" t="s">
        <v>421</v>
      </c>
      <c r="B3" s="64"/>
      <c r="C3" s="46">
        <v>4733601003</v>
      </c>
      <c r="D3" s="46"/>
      <c r="E3" s="46">
        <v>91610</v>
      </c>
      <c r="F3" s="46" t="s">
        <v>397</v>
      </c>
      <c r="G3" s="46">
        <v>1</v>
      </c>
      <c r="H3" s="46">
        <v>54897</v>
      </c>
      <c r="I3" s="46" t="s">
        <v>538</v>
      </c>
      <c r="J3" s="46" t="s">
        <v>166</v>
      </c>
      <c r="K3" s="46"/>
      <c r="L3" s="46"/>
      <c r="M3" s="46" t="s">
        <v>539</v>
      </c>
      <c r="N3" s="46">
        <v>50</v>
      </c>
      <c r="O3" s="46">
        <v>25</v>
      </c>
      <c r="P3" s="46">
        <v>40</v>
      </c>
      <c r="Q3" s="46">
        <v>40</v>
      </c>
      <c r="R3" s="46"/>
      <c r="S3" s="46"/>
      <c r="T3" s="46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</row>
    <row r="4" spans="1:75" s="140" customFormat="1" x14ac:dyDescent="0.25">
      <c r="A4" s="136"/>
      <c r="B4" s="137"/>
      <c r="C4" s="138">
        <v>4217801001</v>
      </c>
      <c r="D4" s="141">
        <v>46044</v>
      </c>
      <c r="E4" s="138">
        <v>84172</v>
      </c>
      <c r="F4" s="138" t="s">
        <v>447</v>
      </c>
      <c r="G4" s="138">
        <v>2</v>
      </c>
      <c r="H4" s="138">
        <v>51070</v>
      </c>
      <c r="I4" s="138" t="s">
        <v>448</v>
      </c>
      <c r="J4" s="138" t="s">
        <v>120</v>
      </c>
      <c r="K4" s="138">
        <v>1</v>
      </c>
      <c r="L4" s="138">
        <v>10102</v>
      </c>
      <c r="M4" s="138"/>
      <c r="N4" s="138"/>
      <c r="O4" s="138"/>
      <c r="P4" s="138"/>
      <c r="Q4" s="138"/>
      <c r="R4" s="138"/>
      <c r="S4" s="138"/>
      <c r="T4" s="138"/>
      <c r="U4" s="136"/>
      <c r="V4" s="139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</row>
    <row r="5" spans="1:75" s="3" customFormat="1" x14ac:dyDescent="0.25">
      <c r="A5" s="62"/>
      <c r="B5" s="21" t="s">
        <v>507</v>
      </c>
      <c r="C5" s="4"/>
      <c r="D5" s="50">
        <v>46044</v>
      </c>
      <c r="E5" s="4">
        <v>93478</v>
      </c>
      <c r="F5" s="4" t="s">
        <v>359</v>
      </c>
      <c r="G5" s="4">
        <v>2</v>
      </c>
      <c r="H5" s="4">
        <v>50568</v>
      </c>
      <c r="I5" s="4" t="s">
        <v>540</v>
      </c>
      <c r="J5" s="4" t="s">
        <v>103</v>
      </c>
      <c r="K5" s="4">
        <v>1</v>
      </c>
      <c r="L5" s="4">
        <v>10107</v>
      </c>
      <c r="M5" s="4"/>
      <c r="N5" s="4"/>
      <c r="O5" s="4"/>
      <c r="P5" s="4"/>
      <c r="Q5" s="4"/>
      <c r="R5" s="4"/>
      <c r="S5" s="4"/>
      <c r="T5" s="4"/>
      <c r="U5" s="2"/>
      <c r="V5" s="65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W5" s="3" t="s">
        <v>421</v>
      </c>
    </row>
    <row r="6" spans="1:75" s="49" customFormat="1" x14ac:dyDescent="0.25">
      <c r="A6" s="46" t="s">
        <v>426</v>
      </c>
      <c r="B6" s="64" t="s">
        <v>541</v>
      </c>
      <c r="C6" s="46">
        <v>4748001001</v>
      </c>
      <c r="D6" s="47">
        <v>46044</v>
      </c>
      <c r="E6" s="46">
        <v>94232</v>
      </c>
      <c r="F6" s="46" t="s">
        <v>299</v>
      </c>
      <c r="G6" s="46">
        <v>2</v>
      </c>
      <c r="H6" s="46">
        <v>56959</v>
      </c>
      <c r="I6" s="46" t="s">
        <v>542</v>
      </c>
      <c r="J6" s="46" t="s">
        <v>103</v>
      </c>
      <c r="K6" s="46">
        <v>2</v>
      </c>
      <c r="L6" s="46">
        <v>10104</v>
      </c>
      <c r="M6" s="46"/>
      <c r="N6" s="46"/>
      <c r="O6" s="46"/>
      <c r="P6" s="46"/>
      <c r="Q6" s="46"/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W6" s="49" t="s">
        <v>426</v>
      </c>
    </row>
    <row r="7" spans="1:75" x14ac:dyDescent="0.25">
      <c r="A7" s="62"/>
      <c r="C7" s="4">
        <v>4750301001</v>
      </c>
      <c r="D7" s="50">
        <v>46044</v>
      </c>
      <c r="E7" s="4">
        <v>94767</v>
      </c>
      <c r="F7" s="4" t="s">
        <v>543</v>
      </c>
      <c r="G7" s="4">
        <v>2</v>
      </c>
      <c r="H7" s="4">
        <v>57965</v>
      </c>
      <c r="I7" s="4" t="s">
        <v>544</v>
      </c>
      <c r="J7" s="4" t="s">
        <v>106</v>
      </c>
      <c r="K7" s="4">
        <v>2</v>
      </c>
      <c r="L7" s="4">
        <v>10103</v>
      </c>
      <c r="V7" s="66"/>
      <c r="W7" s="5"/>
      <c r="X7" s="5"/>
      <c r="BW7" t="s">
        <v>428</v>
      </c>
    </row>
    <row r="8" spans="1:75" s="49" customFormat="1" x14ac:dyDescent="0.25">
      <c r="A8" s="46" t="s">
        <v>421</v>
      </c>
      <c r="B8" s="64"/>
      <c r="C8" s="46">
        <v>4748701001</v>
      </c>
      <c r="D8" s="47">
        <v>46044</v>
      </c>
      <c r="E8" s="46">
        <v>94769</v>
      </c>
      <c r="F8" s="46" t="s">
        <v>545</v>
      </c>
      <c r="G8" s="46">
        <v>1</v>
      </c>
      <c r="H8" s="46">
        <v>57926</v>
      </c>
      <c r="I8" s="46" t="s">
        <v>546</v>
      </c>
      <c r="J8" s="46" t="s">
        <v>399</v>
      </c>
      <c r="K8" s="46">
        <v>10</v>
      </c>
      <c r="L8" s="46">
        <v>10103</v>
      </c>
      <c r="M8" s="48">
        <v>0.68055555555555558</v>
      </c>
      <c r="N8" s="46">
        <v>30</v>
      </c>
      <c r="O8" s="46">
        <v>11</v>
      </c>
      <c r="P8" s="46">
        <v>10</v>
      </c>
      <c r="Q8" s="46">
        <v>10</v>
      </c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W8" s="49" t="s">
        <v>430</v>
      </c>
    </row>
    <row r="9" spans="1:75" s="49" customFormat="1" x14ac:dyDescent="0.25">
      <c r="A9" s="46" t="s">
        <v>421</v>
      </c>
      <c r="B9" s="64"/>
      <c r="C9" s="46">
        <v>4748701002</v>
      </c>
      <c r="D9" s="47">
        <v>46044</v>
      </c>
      <c r="E9" s="46">
        <v>94769</v>
      </c>
      <c r="F9" s="46" t="s">
        <v>545</v>
      </c>
      <c r="G9" s="46">
        <v>2</v>
      </c>
      <c r="H9" s="46">
        <v>57925</v>
      </c>
      <c r="I9" s="46" t="s">
        <v>547</v>
      </c>
      <c r="J9" s="46" t="s">
        <v>399</v>
      </c>
      <c r="K9" s="46">
        <v>11</v>
      </c>
      <c r="L9" s="46">
        <v>10103</v>
      </c>
      <c r="M9" s="48">
        <v>0.67708333333333337</v>
      </c>
      <c r="N9" s="46">
        <v>50</v>
      </c>
      <c r="O9" s="46">
        <v>50</v>
      </c>
      <c r="P9" s="46">
        <v>50</v>
      </c>
      <c r="Q9" s="46">
        <v>50</v>
      </c>
      <c r="R9" s="46"/>
      <c r="S9" s="46"/>
      <c r="T9" s="46">
        <v>50</v>
      </c>
      <c r="U9" s="46">
        <v>50</v>
      </c>
      <c r="V9" s="117">
        <v>50</v>
      </c>
      <c r="W9" s="46">
        <v>50</v>
      </c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</row>
    <row r="10" spans="1:75" x14ac:dyDescent="0.25">
      <c r="A10" s="62" t="s">
        <v>426</v>
      </c>
      <c r="C10" s="4">
        <v>4754601001</v>
      </c>
      <c r="D10" s="50">
        <v>46044</v>
      </c>
      <c r="E10" s="4">
        <v>94771</v>
      </c>
      <c r="F10" s="4" t="s">
        <v>548</v>
      </c>
      <c r="G10" s="4">
        <v>1</v>
      </c>
      <c r="H10" s="4">
        <v>57969</v>
      </c>
      <c r="I10" s="4" t="s">
        <v>549</v>
      </c>
      <c r="J10" s="4" t="s">
        <v>127</v>
      </c>
      <c r="K10" s="4">
        <v>1</v>
      </c>
      <c r="L10" s="4">
        <v>10101</v>
      </c>
      <c r="N10" s="4">
        <v>30</v>
      </c>
      <c r="O10" s="4">
        <v>10</v>
      </c>
      <c r="P10" s="4">
        <v>50</v>
      </c>
      <c r="Q10" s="4">
        <v>50</v>
      </c>
      <c r="V10" s="21"/>
    </row>
    <row r="11" spans="1:75" s="49" customFormat="1" x14ac:dyDescent="0.25">
      <c r="A11" s="46" t="s">
        <v>421</v>
      </c>
      <c r="B11" s="64"/>
      <c r="C11" s="46">
        <v>4746301008</v>
      </c>
      <c r="D11" s="47">
        <v>46044</v>
      </c>
      <c r="E11" s="46">
        <v>94791</v>
      </c>
      <c r="F11" s="46" t="s">
        <v>529</v>
      </c>
      <c r="G11" s="46">
        <v>1</v>
      </c>
      <c r="H11" s="46">
        <v>57528</v>
      </c>
      <c r="I11" s="46" t="s">
        <v>530</v>
      </c>
      <c r="J11" s="46" t="s">
        <v>99</v>
      </c>
      <c r="K11" s="46">
        <v>8</v>
      </c>
      <c r="L11" s="46">
        <v>10105</v>
      </c>
      <c r="M11" s="48">
        <v>0.41666666666666669</v>
      </c>
      <c r="N11" s="46">
        <v>24</v>
      </c>
      <c r="O11" s="46">
        <v>24</v>
      </c>
      <c r="P11" s="46">
        <v>36</v>
      </c>
      <c r="Q11" s="46">
        <v>36</v>
      </c>
      <c r="R11" s="46" t="s">
        <v>550</v>
      </c>
      <c r="S11" s="46"/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</row>
    <row r="12" spans="1:75" s="49" customFormat="1" x14ac:dyDescent="0.25">
      <c r="A12" s="46" t="s">
        <v>421</v>
      </c>
      <c r="B12" s="64"/>
      <c r="C12" s="46">
        <v>4724701004</v>
      </c>
      <c r="D12" s="142">
        <v>46052</v>
      </c>
      <c r="E12" s="46">
        <v>92794</v>
      </c>
      <c r="F12" s="46" t="s">
        <v>397</v>
      </c>
      <c r="G12" s="46">
        <v>1</v>
      </c>
      <c r="H12" s="46">
        <v>54898</v>
      </c>
      <c r="I12" s="46" t="s">
        <v>551</v>
      </c>
      <c r="J12" s="46" t="s">
        <v>399</v>
      </c>
      <c r="K12" s="46">
        <v>20</v>
      </c>
      <c r="L12" s="46">
        <v>10103</v>
      </c>
      <c r="M12" s="46" t="s">
        <v>552</v>
      </c>
      <c r="N12" s="46">
        <v>39</v>
      </c>
      <c r="O12" s="46">
        <v>15</v>
      </c>
      <c r="P12" s="46">
        <v>34</v>
      </c>
      <c r="Q12" s="46">
        <v>34</v>
      </c>
      <c r="R12" s="46"/>
      <c r="S12" s="48">
        <v>0.375</v>
      </c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</row>
    <row r="13" spans="1:75" s="49" customFormat="1" x14ac:dyDescent="0.25">
      <c r="A13" s="46" t="s">
        <v>421</v>
      </c>
      <c r="B13" s="64"/>
      <c r="C13" s="46">
        <v>4724701003</v>
      </c>
      <c r="D13" s="46"/>
      <c r="E13" s="46">
        <v>92794</v>
      </c>
      <c r="F13" s="46" t="s">
        <v>397</v>
      </c>
      <c r="G13" s="46">
        <v>1</v>
      </c>
      <c r="H13" s="46">
        <v>54897</v>
      </c>
      <c r="I13" s="46" t="s">
        <v>538</v>
      </c>
      <c r="J13" s="46" t="s">
        <v>399</v>
      </c>
      <c r="K13" s="46"/>
      <c r="L13" s="46"/>
      <c r="M13" s="48">
        <v>0.35416666666666669</v>
      </c>
      <c r="N13" s="46"/>
      <c r="O13" s="46">
        <v>38</v>
      </c>
      <c r="P13" s="46">
        <v>36</v>
      </c>
      <c r="Q13" s="46">
        <v>36</v>
      </c>
      <c r="R13" s="46"/>
      <c r="S13" s="48">
        <v>0.44791666666666669</v>
      </c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</row>
    <row r="14" spans="1:75" x14ac:dyDescent="0.25">
      <c r="A14" s="62"/>
      <c r="F14" s="4" t="s">
        <v>553</v>
      </c>
      <c r="N14" s="4">
        <v>20</v>
      </c>
      <c r="O14" s="4">
        <v>10</v>
      </c>
      <c r="V14" s="21"/>
    </row>
    <row r="15" spans="1:75" x14ac:dyDescent="0.25">
      <c r="A15" s="62"/>
      <c r="V15" s="21"/>
    </row>
    <row r="16" spans="1:75" x14ac:dyDescent="0.25">
      <c r="A16" s="62"/>
      <c r="V16" s="21"/>
    </row>
    <row r="17" spans="1:72" x14ac:dyDescent="0.25">
      <c r="A17" s="62"/>
      <c r="V17" s="21"/>
    </row>
    <row r="18" spans="1:72" x14ac:dyDescent="0.25">
      <c r="A18" s="62"/>
      <c r="V18" s="21"/>
    </row>
    <row r="19" spans="1:72" x14ac:dyDescent="0.25">
      <c r="A19" s="62"/>
      <c r="V19" s="21"/>
    </row>
    <row r="20" spans="1:72" x14ac:dyDescent="0.25">
      <c r="A20" s="62"/>
      <c r="V20" s="21"/>
    </row>
    <row r="21" spans="1:72" x14ac:dyDescent="0.25">
      <c r="A21" s="62"/>
      <c r="V21" s="21"/>
    </row>
    <row r="22" spans="1:72" x14ac:dyDescent="0.25">
      <c r="A22" s="62"/>
      <c r="V22" s="21"/>
    </row>
    <row r="23" spans="1:72" x14ac:dyDescent="0.25">
      <c r="A23" s="62"/>
      <c r="V23" s="21"/>
    </row>
    <row r="24" spans="1:72" x14ac:dyDescent="0.25">
      <c r="A24" s="62"/>
      <c r="V24" s="21"/>
    </row>
    <row r="25" spans="1:72" x14ac:dyDescent="0.25">
      <c r="A25" s="62"/>
      <c r="V25" s="21"/>
    </row>
    <row r="26" spans="1:72" x14ac:dyDescent="0.25">
      <c r="A26" s="62"/>
      <c r="V26" s="21"/>
    </row>
    <row r="27" spans="1:72" x14ac:dyDescent="0.25">
      <c r="A27" s="62"/>
      <c r="V27" s="21"/>
    </row>
    <row r="28" spans="1:72" x14ac:dyDescent="0.25">
      <c r="A28" s="62"/>
      <c r="V28" s="21"/>
    </row>
    <row r="29" spans="1:72" x14ac:dyDescent="0.25">
      <c r="A29" s="62"/>
      <c r="V29" s="21"/>
    </row>
    <row r="30" spans="1:72" s="63" customFormat="1" x14ac:dyDescent="0.25">
      <c r="A30" s="62"/>
      <c r="B30" s="2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2"/>
      <c r="V30" s="68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</row>
    <row r="31" spans="1:72" s="61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0"/>
      <c r="V31" s="69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</row>
    <row r="32" spans="1:72" x14ac:dyDescent="0.25">
      <c r="A32" s="62"/>
      <c r="V32" s="21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B45" s="11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spans="1:22" x14ac:dyDescent="0.25">
      <c r="A46" s="62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A1:E1"/>
    <mergeCell ref="G1:H1"/>
  </mergeCells>
  <conditionalFormatting sqref="A3:A50">
    <cfRule type="containsText" dxfId="15" priority="1" operator="containsText" text="PEDRO">
      <formula>NOT(ISERROR(SEARCH("PEDRO",A3)))</formula>
    </cfRule>
    <cfRule type="containsText" dxfId="14" priority="2" operator="containsText" text="YGOR">
      <formula>NOT(ISERROR(SEARCH("YGOR",A3)))</formula>
    </cfRule>
    <cfRule type="containsText" dxfId="13" priority="3" operator="containsText" text="ALEXANDRE">
      <formula>NOT(ISERROR(SEARCH("ALEXANDRE",A3)))</formula>
    </cfRule>
    <cfRule type="containsText" dxfId="12" priority="4" operator="containsText" text="LILIAN">
      <formula>NOT(ISERROR(SEARCH("LILIAN",A3)))</formula>
    </cfRule>
  </conditionalFormatting>
  <conditionalFormatting sqref="J1:J1048576">
    <cfRule type="containsText" dxfId="11" priority="5" operator="containsText" text="ALFA TRANSPORTES">
      <formula>NOT(ISERROR(SEARCH("ALFA TRANSPORTES",J1)))</formula>
    </cfRule>
    <cfRule type="containsText" dxfId="10" priority="6" operator="containsText" text="NEW BIGTRANS">
      <formula>NOT(ISERROR(SEARCH("NEW BIGTRANS",J1)))</formula>
    </cfRule>
    <cfRule type="containsText" dxfId="9" priority="7" operator="containsText" text="EXPRESSO SAO MIGUEL">
      <formula>NOT(ISERROR(SEARCH("EXPRESSO SAO MIGUEL",J1)))</formula>
    </cfRule>
    <cfRule type="containsText" dxfId="8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0" xr:uid="{D070622C-C135-4DEE-84CD-D60F142C2816}">
      <formula1>$BW$5:$BW$8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732C-DB9C-4C1A-983E-2629ECFE8588}">
  <sheetPr>
    <tabColor theme="9" tint="-0.499984740745262"/>
  </sheetPr>
  <dimension ref="A1:H14"/>
  <sheetViews>
    <sheetView workbookViewId="0">
      <selection activeCell="I8" sqref="I8"/>
    </sheetView>
  </sheetViews>
  <sheetFormatPr defaultRowHeight="15" x14ac:dyDescent="0.25"/>
  <cols>
    <col min="1" max="1" width="18.7109375" customWidth="1"/>
    <col min="2" max="2" width="17.7109375" customWidth="1"/>
    <col min="3" max="3" width="18.42578125" customWidth="1"/>
    <col min="4" max="4" width="18.7109375" customWidth="1"/>
    <col min="5" max="5" width="15.7109375" customWidth="1"/>
    <col min="6" max="6" width="16.85546875" customWidth="1"/>
  </cols>
  <sheetData>
    <row r="1" spans="1:8" x14ac:dyDescent="0.25">
      <c r="A1" s="144"/>
      <c r="B1" s="143" t="s">
        <v>554</v>
      </c>
      <c r="C1" s="143" t="s">
        <v>555</v>
      </c>
      <c r="D1" s="143" t="s">
        <v>556</v>
      </c>
      <c r="E1" s="143" t="s">
        <v>557</v>
      </c>
      <c r="F1" s="147" t="s">
        <v>558</v>
      </c>
      <c r="G1" s="145"/>
      <c r="H1" s="145"/>
    </row>
    <row r="2" spans="1:8" x14ac:dyDescent="0.25">
      <c r="B2" s="148">
        <v>1</v>
      </c>
      <c r="C2" s="146">
        <v>36</v>
      </c>
      <c r="D2" s="146">
        <v>36</v>
      </c>
      <c r="E2" s="146">
        <v>22</v>
      </c>
      <c r="F2" s="146">
        <v>50</v>
      </c>
    </row>
    <row r="3" spans="1:8" x14ac:dyDescent="0.25">
      <c r="B3" s="148">
        <v>2</v>
      </c>
      <c r="C3" s="146">
        <v>50</v>
      </c>
      <c r="D3" s="146">
        <v>50</v>
      </c>
      <c r="E3" s="146">
        <v>50</v>
      </c>
      <c r="F3" s="146">
        <v>44</v>
      </c>
    </row>
    <row r="4" spans="1:8" x14ac:dyDescent="0.25">
      <c r="B4" s="148">
        <v>3</v>
      </c>
      <c r="C4" s="146">
        <v>25</v>
      </c>
      <c r="D4" s="146">
        <v>25</v>
      </c>
      <c r="E4" s="146">
        <v>34</v>
      </c>
      <c r="F4" s="146">
        <v>50</v>
      </c>
    </row>
    <row r="5" spans="1:8" x14ac:dyDescent="0.25">
      <c r="B5" s="148">
        <v>4</v>
      </c>
      <c r="C5" s="146">
        <v>33</v>
      </c>
      <c r="D5" s="146">
        <v>33</v>
      </c>
      <c r="E5" s="146">
        <v>28</v>
      </c>
      <c r="F5" s="146">
        <v>30</v>
      </c>
    </row>
    <row r="6" spans="1:8" x14ac:dyDescent="0.25">
      <c r="B6" s="148">
        <v>5</v>
      </c>
      <c r="C6" s="146">
        <v>50</v>
      </c>
      <c r="D6" s="146">
        <v>50</v>
      </c>
      <c r="E6" s="146">
        <v>24</v>
      </c>
      <c r="F6" s="146">
        <v>16</v>
      </c>
    </row>
    <row r="7" spans="1:8" x14ac:dyDescent="0.25">
      <c r="B7" s="148">
        <v>6</v>
      </c>
      <c r="C7" s="146">
        <v>24</v>
      </c>
      <c r="D7" s="146">
        <v>24</v>
      </c>
      <c r="E7" s="146">
        <v>38</v>
      </c>
      <c r="F7" s="146">
        <v>42</v>
      </c>
    </row>
    <row r="8" spans="1:8" x14ac:dyDescent="0.25">
      <c r="B8" s="148">
        <v>7</v>
      </c>
      <c r="C8" s="146">
        <v>50</v>
      </c>
      <c r="D8" s="146">
        <v>50</v>
      </c>
      <c r="E8" s="146">
        <v>40</v>
      </c>
      <c r="F8" s="146">
        <v>50</v>
      </c>
    </row>
    <row r="9" spans="1:8" x14ac:dyDescent="0.25">
      <c r="B9" s="148">
        <v>8</v>
      </c>
      <c r="C9" s="146">
        <v>50</v>
      </c>
      <c r="D9" s="146">
        <v>50</v>
      </c>
      <c r="E9" s="146">
        <v>28</v>
      </c>
      <c r="F9" s="146">
        <v>35</v>
      </c>
    </row>
    <row r="10" spans="1:8" x14ac:dyDescent="0.25">
      <c r="B10" s="148">
        <v>9</v>
      </c>
      <c r="C10" s="146">
        <v>27</v>
      </c>
      <c r="D10" s="146">
        <v>27</v>
      </c>
      <c r="E10" s="146">
        <v>49</v>
      </c>
      <c r="F10" s="146">
        <v>38</v>
      </c>
    </row>
    <row r="11" spans="1:8" x14ac:dyDescent="0.25">
      <c r="B11" s="148">
        <v>10</v>
      </c>
      <c r="C11" s="146">
        <v>35</v>
      </c>
      <c r="D11" s="146">
        <v>35</v>
      </c>
      <c r="E11" s="146">
        <v>30</v>
      </c>
      <c r="F11" s="146">
        <v>50</v>
      </c>
    </row>
    <row r="12" spans="1:8" x14ac:dyDescent="0.25">
      <c r="B12" s="148">
        <v>11</v>
      </c>
      <c r="C12" s="146">
        <v>50</v>
      </c>
      <c r="D12" s="146">
        <v>50</v>
      </c>
      <c r="E12" s="146">
        <v>50</v>
      </c>
      <c r="F12" s="146">
        <v>50</v>
      </c>
    </row>
    <row r="13" spans="1:8" x14ac:dyDescent="0.25">
      <c r="B13" s="149">
        <v>12</v>
      </c>
      <c r="C13" s="150">
        <v>21</v>
      </c>
      <c r="D13" s="150">
        <v>21</v>
      </c>
      <c r="E13" s="150">
        <v>50</v>
      </c>
      <c r="F13" s="150">
        <v>50</v>
      </c>
    </row>
    <row r="14" spans="1:8" x14ac:dyDescent="0.25">
      <c r="B14" s="187" t="s">
        <v>559</v>
      </c>
      <c r="C14" s="238"/>
      <c r="D14" s="238"/>
      <c r="E14" s="238"/>
      <c r="F14" s="188"/>
    </row>
  </sheetData>
  <mergeCells count="1">
    <mergeCell ref="B14:F1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3D8C-3F54-4366-B10F-17E6A4417A00}">
  <sheetPr>
    <tabColor rgb="FFFFFF00"/>
  </sheetPr>
  <dimension ref="A1:U64"/>
  <sheetViews>
    <sheetView showGridLines="0" topLeftCell="A17" workbookViewId="0">
      <selection activeCell="S30" sqref="M30:U30"/>
    </sheetView>
  </sheetViews>
  <sheetFormatPr defaultRowHeight="15" x14ac:dyDescent="0.25"/>
  <sheetData>
    <row r="1" spans="1:21" x14ac:dyDescent="0.25">
      <c r="A1" s="214" t="s">
        <v>560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x14ac:dyDescent="0.25">
      <c r="A2" s="217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x14ac:dyDescent="0.25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x14ac:dyDescent="0.25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x14ac:dyDescent="0.25">
      <c r="A5" s="217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9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01" t="s">
        <v>0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02" t="s">
        <v>1</v>
      </c>
      <c r="C17" s="203"/>
      <c r="D17" s="204"/>
      <c r="E17" s="205" t="s">
        <v>2</v>
      </c>
      <c r="F17" s="206"/>
      <c r="G17" s="207" t="s">
        <v>3</v>
      </c>
      <c r="H17" s="203"/>
      <c r="I17" s="204"/>
    </row>
    <row r="18" spans="1:21" ht="18.75" x14ac:dyDescent="0.3">
      <c r="A18" s="23"/>
      <c r="B18" s="208" t="s">
        <v>4</v>
      </c>
      <c r="C18" s="208"/>
      <c r="D18" s="208"/>
      <c r="E18" s="209">
        <v>30</v>
      </c>
      <c r="F18" s="210"/>
      <c r="G18" s="211">
        <f>E18-(E22/2)</f>
        <v>24.5</v>
      </c>
      <c r="H18" s="211"/>
      <c r="I18" s="211"/>
      <c r="K18" s="212" t="s">
        <v>5</v>
      </c>
      <c r="L18" s="213"/>
      <c r="M18" s="213"/>
      <c r="N18" s="213"/>
      <c r="O18" s="213"/>
    </row>
    <row r="19" spans="1:21" ht="18.75" x14ac:dyDescent="0.3">
      <c r="A19" s="23"/>
      <c r="B19" s="190" t="s">
        <v>6</v>
      </c>
      <c r="C19" s="190"/>
      <c r="D19" s="190"/>
      <c r="E19" s="191">
        <v>30</v>
      </c>
      <c r="F19" s="192"/>
      <c r="G19" s="194">
        <f>E19-(E22/2)</f>
        <v>24.5</v>
      </c>
      <c r="H19" s="194"/>
      <c r="I19" s="194"/>
      <c r="K19" s="213"/>
      <c r="L19" s="213"/>
      <c r="M19" s="213"/>
      <c r="N19" s="213"/>
      <c r="O19" s="213"/>
    </row>
    <row r="20" spans="1:21" ht="18.75" x14ac:dyDescent="0.3">
      <c r="A20" s="23"/>
      <c r="B20" s="190" t="s">
        <v>7</v>
      </c>
      <c r="C20" s="190"/>
      <c r="D20" s="190"/>
      <c r="E20" s="191">
        <v>30</v>
      </c>
      <c r="F20" s="192"/>
      <c r="G20" s="194">
        <f>E20-(E22/2)</f>
        <v>24.5</v>
      </c>
      <c r="H20" s="194"/>
      <c r="I20" s="194"/>
      <c r="K20" s="213"/>
      <c r="L20" s="213"/>
      <c r="M20" s="213"/>
      <c r="N20" s="213"/>
      <c r="O20" s="213"/>
    </row>
    <row r="21" spans="1:21" ht="18.75" x14ac:dyDescent="0.3">
      <c r="A21" s="23"/>
      <c r="B21" s="190" t="s">
        <v>7</v>
      </c>
      <c r="C21" s="190"/>
      <c r="D21" s="190"/>
      <c r="E21" s="191">
        <v>30</v>
      </c>
      <c r="F21" s="192"/>
      <c r="G21" s="194">
        <f>E21-(E22/2)</f>
        <v>24.5</v>
      </c>
      <c r="H21" s="194"/>
      <c r="I21" s="194"/>
      <c r="K21" s="213"/>
      <c r="L21" s="213"/>
      <c r="M21" s="213"/>
      <c r="N21" s="213"/>
      <c r="O21" s="213"/>
    </row>
    <row r="22" spans="1:21" ht="18.75" x14ac:dyDescent="0.3">
      <c r="A22" s="23"/>
      <c r="B22" s="190" t="s">
        <v>8</v>
      </c>
      <c r="C22" s="190"/>
      <c r="D22" s="190"/>
      <c r="E22" s="191">
        <v>11</v>
      </c>
      <c r="F22" s="192"/>
      <c r="G22" s="193" t="s">
        <v>9</v>
      </c>
      <c r="H22" s="193"/>
      <c r="I22" s="193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183" t="s">
        <v>561</v>
      </c>
      <c r="C27" s="184"/>
      <c r="D27" s="184"/>
      <c r="E27" s="184"/>
      <c r="F27" s="184"/>
      <c r="G27" s="184"/>
      <c r="H27" s="184"/>
      <c r="I27" s="184"/>
      <c r="J27" s="185"/>
      <c r="M27" s="186" t="s">
        <v>562</v>
      </c>
      <c r="N27" s="186"/>
      <c r="O27" s="186"/>
      <c r="P27" s="186"/>
      <c r="Q27" s="186"/>
      <c r="R27" s="186"/>
      <c r="S27" s="186"/>
      <c r="T27" s="186"/>
      <c r="U27" s="186"/>
    </row>
    <row r="28" spans="1:21" x14ac:dyDescent="0.25">
      <c r="A28" s="23"/>
      <c r="B28" s="187" t="s">
        <v>12</v>
      </c>
      <c r="C28" s="188"/>
      <c r="D28" s="32" t="s">
        <v>13</v>
      </c>
      <c r="E28" s="33" t="s">
        <v>14</v>
      </c>
      <c r="F28" s="187" t="s">
        <v>15</v>
      </c>
      <c r="G28" s="188"/>
      <c r="H28" s="32" t="s">
        <v>13</v>
      </c>
      <c r="I28" s="187" t="s">
        <v>14</v>
      </c>
      <c r="J28" s="188"/>
      <c r="M28" s="189" t="s">
        <v>12</v>
      </c>
      <c r="N28" s="189"/>
      <c r="O28" s="32" t="s">
        <v>13</v>
      </c>
      <c r="P28" s="33" t="s">
        <v>14</v>
      </c>
      <c r="Q28" s="189" t="s">
        <v>15</v>
      </c>
      <c r="R28" s="189"/>
      <c r="S28" s="32" t="s">
        <v>13</v>
      </c>
      <c r="T28" s="189" t="s">
        <v>14</v>
      </c>
      <c r="U28" s="189"/>
    </row>
    <row r="29" spans="1:21" ht="15.75" x14ac:dyDescent="0.25">
      <c r="A29" s="23"/>
      <c r="B29" s="177">
        <f>$E$18</f>
        <v>30</v>
      </c>
      <c r="C29" s="178"/>
      <c r="D29" s="34">
        <v>0.2</v>
      </c>
      <c r="E29" s="35">
        <f>B29+D29</f>
        <v>30.2</v>
      </c>
      <c r="F29" s="177">
        <f>$E$19</f>
        <v>30</v>
      </c>
      <c r="G29" s="178"/>
      <c r="H29" s="34">
        <v>0.75</v>
      </c>
      <c r="I29" s="175">
        <f>F29+H29</f>
        <v>30.75</v>
      </c>
      <c r="J29" s="176"/>
      <c r="M29" s="179">
        <f>$E$18</f>
        <v>30</v>
      </c>
      <c r="N29" s="180"/>
      <c r="O29" s="36">
        <v>0.2</v>
      </c>
      <c r="P29" s="37">
        <f>M29+O29</f>
        <v>30.2</v>
      </c>
      <c r="Q29" s="179">
        <f>$E$19</f>
        <v>30</v>
      </c>
      <c r="R29" s="180"/>
      <c r="S29" s="36">
        <v>0.65</v>
      </c>
      <c r="T29" s="181">
        <f>Q29+S29</f>
        <v>30.65</v>
      </c>
      <c r="U29" s="182"/>
    </row>
    <row r="30" spans="1:21" ht="15.75" x14ac:dyDescent="0.25">
      <c r="A30" s="23"/>
      <c r="B30" s="169"/>
      <c r="C30" s="170"/>
      <c r="D30" s="170"/>
      <c r="E30" s="170"/>
      <c r="F30" s="170"/>
      <c r="G30" s="170"/>
      <c r="H30" s="170"/>
      <c r="I30" s="170"/>
      <c r="J30" s="171"/>
      <c r="M30" s="172"/>
      <c r="N30" s="173"/>
      <c r="O30" s="173"/>
      <c r="P30" s="173"/>
      <c r="Q30" s="173"/>
      <c r="R30" s="173"/>
      <c r="S30" s="173"/>
      <c r="T30" s="173"/>
      <c r="U30" s="174"/>
    </row>
    <row r="31" spans="1:21" ht="15.75" x14ac:dyDescent="0.25">
      <c r="A31" s="23"/>
      <c r="B31" s="166" t="s">
        <v>16</v>
      </c>
      <c r="C31" s="166"/>
      <c r="D31" s="39">
        <v>-0.05</v>
      </c>
      <c r="E31" s="40">
        <f t="shared" ref="E31:E38" si="0">$E$20+D31</f>
        <v>29.95</v>
      </c>
      <c r="F31" s="167" t="s">
        <v>16</v>
      </c>
      <c r="G31" s="168"/>
      <c r="H31" s="34">
        <v>0.05</v>
      </c>
      <c r="I31" s="175">
        <f t="shared" ref="I31:I38" si="1">$E$21+H31</f>
        <v>30.05</v>
      </c>
      <c r="J31" s="176"/>
      <c r="M31" s="166" t="s">
        <v>17</v>
      </c>
      <c r="N31" s="166"/>
      <c r="O31" s="39">
        <v>0</v>
      </c>
      <c r="P31" s="40">
        <f t="shared" ref="P31:P38" si="2">$E$20+O31</f>
        <v>30</v>
      </c>
      <c r="Q31" s="167" t="s">
        <v>17</v>
      </c>
      <c r="R31" s="168"/>
      <c r="S31" s="34">
        <v>0.05</v>
      </c>
      <c r="T31" s="175">
        <f t="shared" ref="T31:T38" si="3">$E$21+S31</f>
        <v>30.05</v>
      </c>
      <c r="U31" s="176"/>
    </row>
    <row r="32" spans="1:21" ht="15.75" x14ac:dyDescent="0.25">
      <c r="A32" s="23"/>
      <c r="B32" s="166" t="s">
        <v>18</v>
      </c>
      <c r="C32" s="166"/>
      <c r="D32" s="41">
        <v>-0.05</v>
      </c>
      <c r="E32" s="40">
        <f t="shared" si="0"/>
        <v>29.95</v>
      </c>
      <c r="F32" s="167" t="s">
        <v>18</v>
      </c>
      <c r="G32" s="168"/>
      <c r="H32" s="38">
        <v>0.05</v>
      </c>
      <c r="I32" s="175">
        <f t="shared" si="1"/>
        <v>30.05</v>
      </c>
      <c r="J32" s="176"/>
      <c r="M32" s="166" t="s">
        <v>18</v>
      </c>
      <c r="N32" s="166"/>
      <c r="O32" s="41">
        <v>0</v>
      </c>
      <c r="P32" s="40">
        <f t="shared" si="2"/>
        <v>30</v>
      </c>
      <c r="Q32" s="167" t="s">
        <v>18</v>
      </c>
      <c r="R32" s="168"/>
      <c r="S32" s="38">
        <v>0.05</v>
      </c>
      <c r="T32" s="175">
        <f t="shared" si="3"/>
        <v>30.05</v>
      </c>
      <c r="U32" s="176"/>
    </row>
    <row r="33" spans="1:21" ht="15.75" x14ac:dyDescent="0.25">
      <c r="A33" s="23"/>
      <c r="B33" s="166" t="s">
        <v>18</v>
      </c>
      <c r="C33" s="166"/>
      <c r="D33" s="41"/>
      <c r="E33" s="40">
        <f t="shared" si="0"/>
        <v>30</v>
      </c>
      <c r="F33" s="167" t="s">
        <v>18</v>
      </c>
      <c r="G33" s="168"/>
      <c r="H33" s="38"/>
      <c r="I33" s="175">
        <f t="shared" si="1"/>
        <v>30</v>
      </c>
      <c r="J33" s="176"/>
      <c r="M33" s="166" t="s">
        <v>18</v>
      </c>
      <c r="N33" s="166"/>
      <c r="O33" s="41"/>
      <c r="P33" s="40">
        <f t="shared" si="2"/>
        <v>30</v>
      </c>
      <c r="Q33" s="167" t="s">
        <v>18</v>
      </c>
      <c r="R33" s="168"/>
      <c r="S33" s="38"/>
      <c r="T33" s="175">
        <f t="shared" si="3"/>
        <v>30</v>
      </c>
      <c r="U33" s="176"/>
    </row>
    <row r="34" spans="1:21" ht="15.75" x14ac:dyDescent="0.25">
      <c r="A34" s="23"/>
      <c r="B34" s="166" t="s">
        <v>19</v>
      </c>
      <c r="C34" s="166"/>
      <c r="D34" s="41"/>
      <c r="E34" s="40">
        <f t="shared" si="0"/>
        <v>30</v>
      </c>
      <c r="F34" s="167" t="s">
        <v>18</v>
      </c>
      <c r="G34" s="168"/>
      <c r="H34" s="38"/>
      <c r="I34" s="175">
        <f t="shared" si="1"/>
        <v>30</v>
      </c>
      <c r="J34" s="176"/>
      <c r="M34" s="166" t="s">
        <v>19</v>
      </c>
      <c r="N34" s="166"/>
      <c r="O34" s="41"/>
      <c r="P34" s="40">
        <f t="shared" si="2"/>
        <v>30</v>
      </c>
      <c r="Q34" s="167" t="s">
        <v>18</v>
      </c>
      <c r="R34" s="168"/>
      <c r="S34" s="38"/>
      <c r="T34" s="175">
        <f t="shared" si="3"/>
        <v>30</v>
      </c>
      <c r="U34" s="176"/>
    </row>
    <row r="35" spans="1:21" ht="15.75" x14ac:dyDescent="0.25">
      <c r="A35" s="23"/>
      <c r="B35" s="166" t="s">
        <v>18</v>
      </c>
      <c r="C35" s="166"/>
      <c r="D35" s="41"/>
      <c r="E35" s="40">
        <f t="shared" si="0"/>
        <v>30</v>
      </c>
      <c r="F35" s="167" t="s">
        <v>18</v>
      </c>
      <c r="G35" s="168"/>
      <c r="H35" s="38"/>
      <c r="I35" s="175">
        <f t="shared" si="1"/>
        <v>30</v>
      </c>
      <c r="J35" s="176"/>
      <c r="M35" s="166" t="s">
        <v>18</v>
      </c>
      <c r="N35" s="166"/>
      <c r="O35" s="41"/>
      <c r="P35" s="40">
        <f t="shared" si="2"/>
        <v>30</v>
      </c>
      <c r="Q35" s="167" t="s">
        <v>18</v>
      </c>
      <c r="R35" s="168"/>
      <c r="S35" s="38"/>
      <c r="T35" s="175">
        <f t="shared" si="3"/>
        <v>30</v>
      </c>
      <c r="U35" s="176"/>
    </row>
    <row r="36" spans="1:21" ht="15.75" x14ac:dyDescent="0.25">
      <c r="A36" s="23"/>
      <c r="B36" s="166" t="s">
        <v>18</v>
      </c>
      <c r="C36" s="166"/>
      <c r="D36" s="41"/>
      <c r="E36" s="40">
        <f t="shared" si="0"/>
        <v>30</v>
      </c>
      <c r="F36" s="167" t="s">
        <v>18</v>
      </c>
      <c r="G36" s="168"/>
      <c r="H36" s="38"/>
      <c r="I36" s="175">
        <f t="shared" si="1"/>
        <v>30</v>
      </c>
      <c r="J36" s="176"/>
      <c r="M36" s="166" t="s">
        <v>18</v>
      </c>
      <c r="N36" s="166"/>
      <c r="O36" s="41"/>
      <c r="P36" s="40">
        <f t="shared" si="2"/>
        <v>30</v>
      </c>
      <c r="Q36" s="167" t="s">
        <v>18</v>
      </c>
      <c r="R36" s="168"/>
      <c r="S36" s="38"/>
      <c r="T36" s="175">
        <f t="shared" si="3"/>
        <v>30</v>
      </c>
      <c r="U36" s="176"/>
    </row>
    <row r="37" spans="1:21" ht="15.75" x14ac:dyDescent="0.25">
      <c r="A37" s="23"/>
      <c r="B37" s="166" t="s">
        <v>18</v>
      </c>
      <c r="C37" s="166"/>
      <c r="D37" s="41"/>
      <c r="E37" s="40">
        <f t="shared" si="0"/>
        <v>30</v>
      </c>
      <c r="F37" s="167" t="s">
        <v>18</v>
      </c>
      <c r="G37" s="168"/>
      <c r="H37" s="38"/>
      <c r="I37" s="175">
        <f t="shared" si="1"/>
        <v>30</v>
      </c>
      <c r="J37" s="176"/>
      <c r="M37" s="166" t="s">
        <v>18</v>
      </c>
      <c r="N37" s="166"/>
      <c r="O37" s="41"/>
      <c r="P37" s="40">
        <f t="shared" si="2"/>
        <v>30</v>
      </c>
      <c r="Q37" s="167" t="s">
        <v>18</v>
      </c>
      <c r="R37" s="168"/>
      <c r="S37" s="38"/>
      <c r="T37" s="175">
        <f t="shared" si="3"/>
        <v>30</v>
      </c>
      <c r="U37" s="176"/>
    </row>
    <row r="38" spans="1:21" ht="15.75" x14ac:dyDescent="0.25">
      <c r="A38" s="23"/>
      <c r="B38" s="166" t="s">
        <v>18</v>
      </c>
      <c r="C38" s="166"/>
      <c r="D38" s="41"/>
      <c r="E38" s="40">
        <f t="shared" si="0"/>
        <v>30</v>
      </c>
      <c r="F38" s="167" t="s">
        <v>18</v>
      </c>
      <c r="G38" s="168"/>
      <c r="H38" s="38"/>
      <c r="I38" s="175">
        <f t="shared" si="1"/>
        <v>30</v>
      </c>
      <c r="J38" s="176"/>
      <c r="M38" s="166" t="s">
        <v>18</v>
      </c>
      <c r="N38" s="166"/>
      <c r="O38" s="41"/>
      <c r="P38" s="40">
        <f t="shared" si="2"/>
        <v>30</v>
      </c>
      <c r="Q38" s="167" t="s">
        <v>18</v>
      </c>
      <c r="R38" s="168"/>
      <c r="S38" s="38"/>
      <c r="T38" s="175">
        <f t="shared" si="3"/>
        <v>30</v>
      </c>
      <c r="U38" s="176"/>
    </row>
    <row r="39" spans="1:21" x14ac:dyDescent="0.25">
      <c r="A39" s="23"/>
    </row>
    <row r="40" spans="1:21" x14ac:dyDescent="0.25">
      <c r="B40" s="183" t="s">
        <v>20</v>
      </c>
      <c r="C40" s="184"/>
      <c r="D40" s="184"/>
      <c r="E40" s="184"/>
      <c r="F40" s="184"/>
      <c r="G40" s="184"/>
      <c r="H40" s="184"/>
      <c r="I40" s="184"/>
      <c r="J40" s="185"/>
      <c r="M40" s="186" t="s">
        <v>21</v>
      </c>
      <c r="N40" s="186"/>
      <c r="O40" s="186"/>
      <c r="P40" s="186"/>
      <c r="Q40" s="186"/>
      <c r="R40" s="186"/>
      <c r="S40" s="186"/>
      <c r="T40" s="186"/>
      <c r="U40" s="186"/>
    </row>
    <row r="41" spans="1:21" x14ac:dyDescent="0.25">
      <c r="B41" s="187" t="s">
        <v>12</v>
      </c>
      <c r="C41" s="188"/>
      <c r="D41" s="32" t="s">
        <v>13</v>
      </c>
      <c r="E41" s="33" t="s">
        <v>14</v>
      </c>
      <c r="F41" s="187" t="s">
        <v>15</v>
      </c>
      <c r="G41" s="188"/>
      <c r="H41" s="32" t="s">
        <v>13</v>
      </c>
      <c r="I41" s="187" t="s">
        <v>14</v>
      </c>
      <c r="J41" s="188"/>
      <c r="M41" s="189" t="s">
        <v>12</v>
      </c>
      <c r="N41" s="189"/>
      <c r="O41" s="32" t="s">
        <v>13</v>
      </c>
      <c r="P41" s="33" t="s">
        <v>14</v>
      </c>
      <c r="Q41" s="189" t="s">
        <v>15</v>
      </c>
      <c r="R41" s="189"/>
      <c r="S41" s="32" t="s">
        <v>13</v>
      </c>
      <c r="T41" s="189" t="s">
        <v>14</v>
      </c>
      <c r="U41" s="189"/>
    </row>
    <row r="42" spans="1:21" ht="15.75" x14ac:dyDescent="0.25">
      <c r="B42" s="177">
        <f>$E$18</f>
        <v>30</v>
      </c>
      <c r="C42" s="178"/>
      <c r="D42" s="34"/>
      <c r="E42" s="35">
        <f>B42+D42</f>
        <v>30</v>
      </c>
      <c r="F42" s="177">
        <f>$E$19</f>
        <v>30</v>
      </c>
      <c r="G42" s="178"/>
      <c r="H42" s="34"/>
      <c r="I42" s="175">
        <f>F42+H42</f>
        <v>30</v>
      </c>
      <c r="J42" s="176"/>
      <c r="M42" s="179">
        <f>$E$18</f>
        <v>30</v>
      </c>
      <c r="N42" s="180"/>
      <c r="O42" s="36"/>
      <c r="P42" s="37">
        <f>M42+O42</f>
        <v>30</v>
      </c>
      <c r="Q42" s="179">
        <f>$E$19</f>
        <v>30</v>
      </c>
      <c r="R42" s="180"/>
      <c r="S42" s="36"/>
      <c r="T42" s="181">
        <f>Q42+S42</f>
        <v>30</v>
      </c>
      <c r="U42" s="182"/>
    </row>
    <row r="43" spans="1:21" ht="15.75" x14ac:dyDescent="0.25">
      <c r="B43" s="169"/>
      <c r="C43" s="170"/>
      <c r="D43" s="170"/>
      <c r="E43" s="170"/>
      <c r="F43" s="170"/>
      <c r="G43" s="170"/>
      <c r="H43" s="170"/>
      <c r="I43" s="170"/>
      <c r="J43" s="171"/>
      <c r="M43" s="172"/>
      <c r="N43" s="173"/>
      <c r="O43" s="173"/>
      <c r="P43" s="173"/>
      <c r="Q43" s="173"/>
      <c r="R43" s="173"/>
      <c r="S43" s="173"/>
      <c r="T43" s="173"/>
      <c r="U43" s="174"/>
    </row>
    <row r="44" spans="1:21" ht="15.75" x14ac:dyDescent="0.25">
      <c r="B44" s="166" t="s">
        <v>16</v>
      </c>
      <c r="C44" s="166"/>
      <c r="D44" s="39"/>
      <c r="E44" s="40">
        <f t="shared" ref="E44:E51" si="4">$E$20+D44</f>
        <v>30</v>
      </c>
      <c r="F44" s="167" t="s">
        <v>16</v>
      </c>
      <c r="G44" s="168"/>
      <c r="H44" s="34"/>
      <c r="I44" s="175">
        <f t="shared" ref="I44:I51" si="5">$E$21+H44</f>
        <v>30</v>
      </c>
      <c r="J44" s="176"/>
      <c r="M44" s="166" t="s">
        <v>17</v>
      </c>
      <c r="N44" s="166"/>
      <c r="O44" s="39"/>
      <c r="P44" s="40">
        <f t="shared" ref="P44:P51" si="6">$E$20+O44</f>
        <v>30</v>
      </c>
      <c r="Q44" s="167" t="s">
        <v>17</v>
      </c>
      <c r="R44" s="168"/>
      <c r="S44" s="34"/>
      <c r="T44" s="175">
        <f t="shared" ref="T44:T51" si="7">$E$21+S44</f>
        <v>30</v>
      </c>
      <c r="U44" s="176"/>
    </row>
    <row r="45" spans="1:21" ht="15.75" x14ac:dyDescent="0.25">
      <c r="B45" s="166" t="s">
        <v>18</v>
      </c>
      <c r="C45" s="166"/>
      <c r="D45" s="41"/>
      <c r="E45" s="40">
        <f t="shared" si="4"/>
        <v>30</v>
      </c>
      <c r="F45" s="167" t="s">
        <v>18</v>
      </c>
      <c r="G45" s="168"/>
      <c r="H45" s="38"/>
      <c r="I45" s="175">
        <f t="shared" si="5"/>
        <v>30</v>
      </c>
      <c r="J45" s="176"/>
      <c r="M45" s="166" t="s">
        <v>18</v>
      </c>
      <c r="N45" s="166"/>
      <c r="O45" s="41"/>
      <c r="P45" s="40">
        <f t="shared" si="6"/>
        <v>30</v>
      </c>
      <c r="Q45" s="167" t="s">
        <v>18</v>
      </c>
      <c r="R45" s="168"/>
      <c r="S45" s="38"/>
      <c r="T45" s="175">
        <f t="shared" si="7"/>
        <v>30</v>
      </c>
      <c r="U45" s="176"/>
    </row>
    <row r="46" spans="1:21" ht="15.75" x14ac:dyDescent="0.25">
      <c r="B46" s="166" t="s">
        <v>18</v>
      </c>
      <c r="C46" s="166"/>
      <c r="D46" s="41"/>
      <c r="E46" s="40">
        <f t="shared" si="4"/>
        <v>30</v>
      </c>
      <c r="F46" s="167" t="s">
        <v>18</v>
      </c>
      <c r="G46" s="168"/>
      <c r="H46" s="38"/>
      <c r="I46" s="175">
        <f t="shared" si="5"/>
        <v>30</v>
      </c>
      <c r="J46" s="176"/>
      <c r="M46" s="166" t="s">
        <v>18</v>
      </c>
      <c r="N46" s="166"/>
      <c r="O46" s="41"/>
      <c r="P46" s="40">
        <f t="shared" si="6"/>
        <v>30</v>
      </c>
      <c r="Q46" s="167" t="s">
        <v>18</v>
      </c>
      <c r="R46" s="168"/>
      <c r="S46" s="38"/>
      <c r="T46" s="175">
        <f t="shared" si="7"/>
        <v>30</v>
      </c>
      <c r="U46" s="176"/>
    </row>
    <row r="47" spans="1:21" ht="15.75" x14ac:dyDescent="0.25">
      <c r="B47" s="166" t="s">
        <v>19</v>
      </c>
      <c r="C47" s="166"/>
      <c r="D47" s="41"/>
      <c r="E47" s="40">
        <f t="shared" si="4"/>
        <v>30</v>
      </c>
      <c r="F47" s="167" t="s">
        <v>18</v>
      </c>
      <c r="G47" s="168"/>
      <c r="H47" s="38"/>
      <c r="I47" s="175">
        <f t="shared" si="5"/>
        <v>30</v>
      </c>
      <c r="J47" s="176"/>
      <c r="M47" s="166" t="s">
        <v>19</v>
      </c>
      <c r="N47" s="166"/>
      <c r="O47" s="41"/>
      <c r="P47" s="40">
        <f t="shared" si="6"/>
        <v>30</v>
      </c>
      <c r="Q47" s="167" t="s">
        <v>18</v>
      </c>
      <c r="R47" s="168"/>
      <c r="S47" s="38"/>
      <c r="T47" s="175">
        <f t="shared" si="7"/>
        <v>30</v>
      </c>
      <c r="U47" s="176"/>
    </row>
    <row r="48" spans="1:21" ht="15.75" x14ac:dyDescent="0.25">
      <c r="B48" s="166" t="s">
        <v>18</v>
      </c>
      <c r="C48" s="166"/>
      <c r="D48" s="41"/>
      <c r="E48" s="40">
        <f t="shared" si="4"/>
        <v>30</v>
      </c>
      <c r="F48" s="167" t="s">
        <v>18</v>
      </c>
      <c r="G48" s="168"/>
      <c r="H48" s="38"/>
      <c r="I48" s="175">
        <f t="shared" si="5"/>
        <v>30</v>
      </c>
      <c r="J48" s="176"/>
      <c r="M48" s="166" t="s">
        <v>18</v>
      </c>
      <c r="N48" s="166"/>
      <c r="O48" s="41"/>
      <c r="P48" s="40">
        <f t="shared" si="6"/>
        <v>30</v>
      </c>
      <c r="Q48" s="167" t="s">
        <v>18</v>
      </c>
      <c r="R48" s="168"/>
      <c r="S48" s="38"/>
      <c r="T48" s="175">
        <f t="shared" si="7"/>
        <v>30</v>
      </c>
      <c r="U48" s="176"/>
    </row>
    <row r="49" spans="2:21" ht="15.75" x14ac:dyDescent="0.25">
      <c r="B49" s="166" t="s">
        <v>18</v>
      </c>
      <c r="C49" s="166"/>
      <c r="D49" s="41"/>
      <c r="E49" s="40">
        <f t="shared" si="4"/>
        <v>30</v>
      </c>
      <c r="F49" s="167" t="s">
        <v>18</v>
      </c>
      <c r="G49" s="168"/>
      <c r="H49" s="38"/>
      <c r="I49" s="175">
        <f t="shared" si="5"/>
        <v>30</v>
      </c>
      <c r="J49" s="176"/>
      <c r="M49" s="166" t="s">
        <v>18</v>
      </c>
      <c r="N49" s="166"/>
      <c r="O49" s="41"/>
      <c r="P49" s="40">
        <f t="shared" si="6"/>
        <v>30</v>
      </c>
      <c r="Q49" s="167" t="s">
        <v>18</v>
      </c>
      <c r="R49" s="168"/>
      <c r="S49" s="38"/>
      <c r="T49" s="175">
        <f t="shared" si="7"/>
        <v>30</v>
      </c>
      <c r="U49" s="176"/>
    </row>
    <row r="50" spans="2:21" ht="15.75" x14ac:dyDescent="0.25">
      <c r="B50" s="166" t="s">
        <v>18</v>
      </c>
      <c r="C50" s="166"/>
      <c r="D50" s="41"/>
      <c r="E50" s="40">
        <f t="shared" si="4"/>
        <v>30</v>
      </c>
      <c r="F50" s="167" t="s">
        <v>18</v>
      </c>
      <c r="G50" s="168"/>
      <c r="H50" s="38"/>
      <c r="I50" s="175">
        <f t="shared" si="5"/>
        <v>30</v>
      </c>
      <c r="J50" s="176"/>
      <c r="M50" s="166" t="s">
        <v>18</v>
      </c>
      <c r="N50" s="166"/>
      <c r="O50" s="41"/>
      <c r="P50" s="40">
        <f t="shared" si="6"/>
        <v>30</v>
      </c>
      <c r="Q50" s="167" t="s">
        <v>18</v>
      </c>
      <c r="R50" s="168"/>
      <c r="S50" s="38"/>
      <c r="T50" s="175">
        <f t="shared" si="7"/>
        <v>30</v>
      </c>
      <c r="U50" s="176"/>
    </row>
    <row r="51" spans="2:21" ht="15.75" x14ac:dyDescent="0.25">
      <c r="B51" s="166" t="s">
        <v>18</v>
      </c>
      <c r="C51" s="166"/>
      <c r="D51" s="41"/>
      <c r="E51" s="40">
        <f t="shared" si="4"/>
        <v>30</v>
      </c>
      <c r="F51" s="167" t="s">
        <v>18</v>
      </c>
      <c r="G51" s="168"/>
      <c r="H51" s="38"/>
      <c r="I51" s="175">
        <f t="shared" si="5"/>
        <v>30</v>
      </c>
      <c r="J51" s="176"/>
      <c r="M51" s="166" t="s">
        <v>18</v>
      </c>
      <c r="N51" s="166"/>
      <c r="O51" s="41"/>
      <c r="P51" s="40">
        <f t="shared" si="6"/>
        <v>30</v>
      </c>
      <c r="Q51" s="167" t="s">
        <v>18</v>
      </c>
      <c r="R51" s="168"/>
      <c r="S51" s="38"/>
      <c r="T51" s="175">
        <f t="shared" si="7"/>
        <v>30</v>
      </c>
      <c r="U51" s="176"/>
    </row>
    <row r="53" spans="2:21" x14ac:dyDescent="0.25">
      <c r="B53" s="183" t="s">
        <v>22</v>
      </c>
      <c r="C53" s="184"/>
      <c r="D53" s="184"/>
      <c r="E53" s="184"/>
      <c r="F53" s="184"/>
      <c r="G53" s="184"/>
      <c r="H53" s="184"/>
      <c r="I53" s="184"/>
      <c r="J53" s="185"/>
      <c r="M53" s="186" t="s">
        <v>23</v>
      </c>
      <c r="N53" s="186"/>
      <c r="O53" s="186"/>
      <c r="P53" s="186"/>
      <c r="Q53" s="186"/>
      <c r="R53" s="186"/>
      <c r="S53" s="186"/>
      <c r="T53" s="186"/>
      <c r="U53" s="186"/>
    </row>
    <row r="54" spans="2:21" x14ac:dyDescent="0.25">
      <c r="B54" s="187" t="s">
        <v>12</v>
      </c>
      <c r="C54" s="188"/>
      <c r="D54" s="32" t="s">
        <v>13</v>
      </c>
      <c r="E54" s="33" t="s">
        <v>14</v>
      </c>
      <c r="F54" s="187" t="s">
        <v>15</v>
      </c>
      <c r="G54" s="188"/>
      <c r="H54" s="32" t="s">
        <v>13</v>
      </c>
      <c r="I54" s="187" t="s">
        <v>14</v>
      </c>
      <c r="J54" s="188"/>
      <c r="M54" s="189" t="s">
        <v>12</v>
      </c>
      <c r="N54" s="189"/>
      <c r="O54" s="32" t="s">
        <v>13</v>
      </c>
      <c r="P54" s="33" t="s">
        <v>14</v>
      </c>
      <c r="Q54" s="189" t="s">
        <v>15</v>
      </c>
      <c r="R54" s="189"/>
      <c r="S54" s="32" t="s">
        <v>13</v>
      </c>
      <c r="T54" s="189" t="s">
        <v>14</v>
      </c>
      <c r="U54" s="189"/>
    </row>
    <row r="55" spans="2:21" ht="15.75" x14ac:dyDescent="0.25">
      <c r="B55" s="177">
        <f>$E$18</f>
        <v>30</v>
      </c>
      <c r="C55" s="178"/>
      <c r="D55" s="34"/>
      <c r="E55" s="35">
        <f>B55+D55</f>
        <v>30</v>
      </c>
      <c r="F55" s="177">
        <f>$E$19</f>
        <v>30</v>
      </c>
      <c r="G55" s="178"/>
      <c r="H55" s="34"/>
      <c r="I55" s="175">
        <f>F55+H55</f>
        <v>30</v>
      </c>
      <c r="J55" s="176"/>
      <c r="M55" s="179">
        <f>$E$18</f>
        <v>30</v>
      </c>
      <c r="N55" s="180"/>
      <c r="O55" s="36"/>
      <c r="P55" s="37">
        <f>M55+O55</f>
        <v>30</v>
      </c>
      <c r="Q55" s="179">
        <f>$E$19</f>
        <v>30</v>
      </c>
      <c r="R55" s="180"/>
      <c r="S55" s="36"/>
      <c r="T55" s="181">
        <f>Q55+S55</f>
        <v>30</v>
      </c>
      <c r="U55" s="182"/>
    </row>
    <row r="56" spans="2:21" ht="15.75" x14ac:dyDescent="0.25">
      <c r="B56" s="169"/>
      <c r="C56" s="170"/>
      <c r="D56" s="170"/>
      <c r="E56" s="170"/>
      <c r="F56" s="170"/>
      <c r="G56" s="170"/>
      <c r="H56" s="170"/>
      <c r="I56" s="170"/>
      <c r="J56" s="171"/>
      <c r="M56" s="172"/>
      <c r="N56" s="173"/>
      <c r="O56" s="173"/>
      <c r="P56" s="173"/>
      <c r="Q56" s="173"/>
      <c r="R56" s="173"/>
      <c r="S56" s="173"/>
      <c r="T56" s="173"/>
      <c r="U56" s="174"/>
    </row>
    <row r="57" spans="2:21" ht="15.75" x14ac:dyDescent="0.25">
      <c r="B57" s="166" t="s">
        <v>16</v>
      </c>
      <c r="C57" s="166"/>
      <c r="D57" s="39"/>
      <c r="E57" s="40">
        <f t="shared" ref="E57:E64" si="8">$E$20+D57</f>
        <v>30</v>
      </c>
      <c r="F57" s="167" t="s">
        <v>16</v>
      </c>
      <c r="G57" s="168"/>
      <c r="H57" s="34"/>
      <c r="I57" s="175">
        <f t="shared" ref="I57:I64" si="9">$E$21+H57</f>
        <v>30</v>
      </c>
      <c r="J57" s="176"/>
      <c r="M57" s="166" t="s">
        <v>17</v>
      </c>
      <c r="N57" s="166"/>
      <c r="O57" s="39"/>
      <c r="P57" s="40">
        <f t="shared" ref="P57:P64" si="10">$E$20+O57</f>
        <v>30</v>
      </c>
      <c r="Q57" s="167" t="s">
        <v>17</v>
      </c>
      <c r="R57" s="168"/>
      <c r="S57" s="34"/>
      <c r="T57" s="175">
        <f t="shared" ref="T57:T64" si="11">$E$21+S57</f>
        <v>30</v>
      </c>
      <c r="U57" s="176"/>
    </row>
    <row r="58" spans="2:21" ht="15.75" x14ac:dyDescent="0.25">
      <c r="B58" s="166" t="s">
        <v>18</v>
      </c>
      <c r="C58" s="166"/>
      <c r="D58" s="41"/>
      <c r="E58" s="40">
        <f t="shared" si="8"/>
        <v>30</v>
      </c>
      <c r="F58" s="167" t="s">
        <v>18</v>
      </c>
      <c r="G58" s="168"/>
      <c r="H58" s="38"/>
      <c r="I58" s="175">
        <f t="shared" si="9"/>
        <v>30</v>
      </c>
      <c r="J58" s="176"/>
      <c r="M58" s="166" t="s">
        <v>18</v>
      </c>
      <c r="N58" s="166"/>
      <c r="O58" s="41"/>
      <c r="P58" s="40">
        <f t="shared" si="10"/>
        <v>30</v>
      </c>
      <c r="Q58" s="167" t="s">
        <v>18</v>
      </c>
      <c r="R58" s="168"/>
      <c r="S58" s="38"/>
      <c r="T58" s="175">
        <f t="shared" si="11"/>
        <v>30</v>
      </c>
      <c r="U58" s="176"/>
    </row>
    <row r="59" spans="2:21" ht="15.75" x14ac:dyDescent="0.25">
      <c r="B59" s="166" t="s">
        <v>18</v>
      </c>
      <c r="C59" s="166"/>
      <c r="D59" s="41"/>
      <c r="E59" s="40">
        <f t="shared" si="8"/>
        <v>30</v>
      </c>
      <c r="F59" s="167" t="s">
        <v>18</v>
      </c>
      <c r="G59" s="168"/>
      <c r="H59" s="38"/>
      <c r="I59" s="175">
        <f t="shared" si="9"/>
        <v>30</v>
      </c>
      <c r="J59" s="176"/>
      <c r="M59" s="166" t="s">
        <v>18</v>
      </c>
      <c r="N59" s="166"/>
      <c r="O59" s="41"/>
      <c r="P59" s="40">
        <f t="shared" si="10"/>
        <v>30</v>
      </c>
      <c r="Q59" s="167" t="s">
        <v>18</v>
      </c>
      <c r="R59" s="168"/>
      <c r="S59" s="38"/>
      <c r="T59" s="175">
        <f t="shared" si="11"/>
        <v>30</v>
      </c>
      <c r="U59" s="176"/>
    </row>
    <row r="60" spans="2:21" ht="15.75" x14ac:dyDescent="0.25">
      <c r="B60" s="166" t="s">
        <v>19</v>
      </c>
      <c r="C60" s="166"/>
      <c r="D60" s="41"/>
      <c r="E60" s="40">
        <f t="shared" si="8"/>
        <v>30</v>
      </c>
      <c r="F60" s="167" t="s">
        <v>18</v>
      </c>
      <c r="G60" s="168"/>
      <c r="H60" s="38"/>
      <c r="I60" s="175">
        <f t="shared" si="9"/>
        <v>30</v>
      </c>
      <c r="J60" s="176"/>
      <c r="M60" s="166" t="s">
        <v>19</v>
      </c>
      <c r="N60" s="166"/>
      <c r="O60" s="41"/>
      <c r="P60" s="40">
        <f t="shared" si="10"/>
        <v>30</v>
      </c>
      <c r="Q60" s="167" t="s">
        <v>18</v>
      </c>
      <c r="R60" s="168"/>
      <c r="S60" s="38"/>
      <c r="T60" s="175">
        <f t="shared" si="11"/>
        <v>30</v>
      </c>
      <c r="U60" s="176"/>
    </row>
    <row r="61" spans="2:21" ht="15.75" x14ac:dyDescent="0.25">
      <c r="B61" s="166" t="s">
        <v>18</v>
      </c>
      <c r="C61" s="166"/>
      <c r="D61" s="41"/>
      <c r="E61" s="40">
        <f t="shared" si="8"/>
        <v>30</v>
      </c>
      <c r="F61" s="167" t="s">
        <v>18</v>
      </c>
      <c r="G61" s="168"/>
      <c r="H61" s="38"/>
      <c r="I61" s="175">
        <f t="shared" si="9"/>
        <v>30</v>
      </c>
      <c r="J61" s="176"/>
      <c r="M61" s="166" t="s">
        <v>18</v>
      </c>
      <c r="N61" s="166"/>
      <c r="O61" s="41"/>
      <c r="P61" s="40">
        <f t="shared" si="10"/>
        <v>30</v>
      </c>
      <c r="Q61" s="167" t="s">
        <v>18</v>
      </c>
      <c r="R61" s="168"/>
      <c r="S61" s="38"/>
      <c r="T61" s="175">
        <f t="shared" si="11"/>
        <v>30</v>
      </c>
      <c r="U61" s="176"/>
    </row>
    <row r="62" spans="2:21" ht="15.75" x14ac:dyDescent="0.25">
      <c r="B62" s="166" t="s">
        <v>18</v>
      </c>
      <c r="C62" s="166"/>
      <c r="D62" s="41"/>
      <c r="E62" s="40">
        <f t="shared" si="8"/>
        <v>30</v>
      </c>
      <c r="F62" s="167" t="s">
        <v>18</v>
      </c>
      <c r="G62" s="168"/>
      <c r="H62" s="38"/>
      <c r="I62" s="175">
        <f t="shared" si="9"/>
        <v>30</v>
      </c>
      <c r="J62" s="176"/>
      <c r="M62" s="166" t="s">
        <v>18</v>
      </c>
      <c r="N62" s="166"/>
      <c r="O62" s="41"/>
      <c r="P62" s="40">
        <f t="shared" si="10"/>
        <v>30</v>
      </c>
      <c r="Q62" s="167" t="s">
        <v>18</v>
      </c>
      <c r="R62" s="168"/>
      <c r="S62" s="38"/>
      <c r="T62" s="175">
        <f t="shared" si="11"/>
        <v>30</v>
      </c>
      <c r="U62" s="176"/>
    </row>
    <row r="63" spans="2:21" ht="15.75" x14ac:dyDescent="0.25">
      <c r="B63" s="166" t="s">
        <v>18</v>
      </c>
      <c r="C63" s="166"/>
      <c r="D63" s="41"/>
      <c r="E63" s="40">
        <f t="shared" si="8"/>
        <v>30</v>
      </c>
      <c r="F63" s="167" t="s">
        <v>18</v>
      </c>
      <c r="G63" s="168"/>
      <c r="H63" s="38"/>
      <c r="I63" s="175">
        <f t="shared" si="9"/>
        <v>30</v>
      </c>
      <c r="J63" s="176"/>
      <c r="M63" s="166" t="s">
        <v>18</v>
      </c>
      <c r="N63" s="166"/>
      <c r="O63" s="41"/>
      <c r="P63" s="40">
        <f t="shared" si="10"/>
        <v>30</v>
      </c>
      <c r="Q63" s="167" t="s">
        <v>18</v>
      </c>
      <c r="R63" s="168"/>
      <c r="S63" s="38"/>
      <c r="T63" s="175">
        <f t="shared" si="11"/>
        <v>30</v>
      </c>
      <c r="U63" s="176"/>
    </row>
    <row r="64" spans="2:21" ht="15.75" x14ac:dyDescent="0.25">
      <c r="B64" s="166" t="s">
        <v>18</v>
      </c>
      <c r="C64" s="166"/>
      <c r="D64" s="41"/>
      <c r="E64" s="40">
        <f t="shared" si="8"/>
        <v>30</v>
      </c>
      <c r="F64" s="167" t="s">
        <v>18</v>
      </c>
      <c r="G64" s="168"/>
      <c r="H64" s="38"/>
      <c r="I64" s="175">
        <f t="shared" si="9"/>
        <v>30</v>
      </c>
      <c r="J64" s="176"/>
      <c r="M64" s="166" t="s">
        <v>18</v>
      </c>
      <c r="N64" s="166"/>
      <c r="O64" s="41"/>
      <c r="P64" s="40">
        <f t="shared" si="10"/>
        <v>30</v>
      </c>
      <c r="Q64" s="167" t="s">
        <v>18</v>
      </c>
      <c r="R64" s="168"/>
      <c r="S64" s="38"/>
      <c r="T64" s="175">
        <f t="shared" si="11"/>
        <v>30</v>
      </c>
      <c r="U64" s="176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9044-FC61-44BB-B862-D423923EC30C}">
  <sheetPr>
    <tabColor rgb="FFFF0000"/>
  </sheetPr>
  <dimension ref="A1:CG51"/>
  <sheetViews>
    <sheetView tabSelected="1" topLeftCell="F1" workbookViewId="0">
      <pane ySplit="2" topLeftCell="A3" activePane="bottomLeft" state="frozen"/>
      <selection pane="bottomLeft" activeCell="J6" sqref="J6"/>
    </sheetView>
  </sheetViews>
  <sheetFormatPr defaultRowHeight="15" x14ac:dyDescent="0.25"/>
  <cols>
    <col min="1" max="1" width="13.7109375" style="4" customWidth="1"/>
    <col min="2" max="2" width="13.5703125" style="21" customWidth="1"/>
    <col min="3" max="3" width="21.5703125" style="4" customWidth="1"/>
    <col min="4" max="4" width="17" style="4" customWidth="1"/>
    <col min="5" max="5" width="11.85546875" style="4" customWidth="1"/>
    <col min="6" max="6" width="35.5703125" style="4" customWidth="1"/>
    <col min="7" max="7" width="10.28515625" style="4" customWidth="1"/>
    <col min="8" max="8" width="12.85546875" style="4" customWidth="1"/>
    <col min="9" max="9" width="66.140625" style="4" customWidth="1"/>
    <col min="10" max="10" width="44.28515625" style="4" customWidth="1"/>
    <col min="11" max="11" width="5.5703125" style="4" bestFit="1" customWidth="1"/>
    <col min="12" max="13" width="9.28515625" style="4" customWidth="1"/>
    <col min="14" max="14" width="11.42578125" style="4" bestFit="1" customWidth="1"/>
    <col min="15" max="15" width="16.7109375" style="4" bestFit="1" customWidth="1"/>
    <col min="16" max="16" width="16.42578125" style="4" bestFit="1" customWidth="1"/>
    <col min="17" max="17" width="15.5703125" style="4" bestFit="1" customWidth="1"/>
    <col min="18" max="18" width="15.85546875" style="4" bestFit="1" customWidth="1"/>
    <col min="19" max="19" width="22.7109375" style="4" bestFit="1" customWidth="1"/>
    <col min="20" max="20" width="7.140625" style="4" bestFit="1" customWidth="1"/>
    <col min="21" max="21" width="11.28515625" style="4" bestFit="1" customWidth="1"/>
    <col min="22" max="22" width="16.7109375" style="4" bestFit="1" customWidth="1"/>
    <col min="23" max="23" width="16.42578125" style="4" bestFit="1" customWidth="1"/>
    <col min="24" max="24" width="15.5703125" style="4" bestFit="1" customWidth="1"/>
    <col min="25" max="25" width="15.85546875" style="4" bestFit="1" customWidth="1"/>
    <col min="26" max="26" width="22.7109375" style="4" bestFit="1" customWidth="1"/>
    <col min="27" max="27" width="10.140625" style="4" customWidth="1"/>
    <col min="28" max="28" width="11.28515625" style="4" customWidth="1"/>
    <col min="29" max="29" width="16.7109375" style="4" bestFit="1" customWidth="1"/>
    <col min="30" max="30" width="16.42578125" style="4" bestFit="1" customWidth="1"/>
    <col min="31" max="31" width="15.5703125" style="4" bestFit="1" customWidth="1"/>
    <col min="32" max="32" width="15.85546875" style="4" bestFit="1" customWidth="1"/>
    <col min="33" max="33" width="22.7109375" style="4" bestFit="1" customWidth="1"/>
    <col min="34" max="34" width="7.140625" style="4" bestFit="1" customWidth="1"/>
    <col min="35" max="35" width="11.28515625" style="4" bestFit="1" customWidth="1"/>
    <col min="36" max="36" width="16.7109375" style="4" bestFit="1" customWidth="1"/>
    <col min="37" max="37" width="16.42578125" style="4" bestFit="1" customWidth="1"/>
    <col min="38" max="38" width="15.5703125" style="4" bestFit="1" customWidth="1"/>
    <col min="39" max="39" width="15.85546875" style="4" bestFit="1" customWidth="1"/>
    <col min="40" max="40" width="17.85546875" style="4" bestFit="1" customWidth="1"/>
    <col min="41" max="41" width="7.140625" style="4" bestFit="1" customWidth="1"/>
    <col min="42" max="42" width="11.28515625" style="4" bestFit="1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7.140625" style="4" bestFit="1" customWidth="1"/>
    <col min="49" max="49" width="11.28515625" style="4" bestFit="1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4" width="17.85546875" style="4" bestFit="1" customWidth="1"/>
    <col min="55" max="55" width="7.140625" style="4" bestFit="1" customWidth="1"/>
    <col min="56" max="56" width="11.28515625" style="4" bestFit="1" customWidth="1"/>
    <col min="57" max="57" width="16.7109375" style="4" bestFit="1" customWidth="1"/>
    <col min="58" max="58" width="16.42578125" style="4" bestFit="1" customWidth="1"/>
    <col min="59" max="59" width="15.5703125" style="4" bestFit="1" customWidth="1"/>
    <col min="60" max="60" width="15.85546875" style="4" bestFit="1" customWidth="1"/>
    <col min="61" max="63" width="12.140625" style="4" customWidth="1"/>
    <col min="64" max="64" width="16.7109375" style="4" bestFit="1" customWidth="1"/>
    <col min="65" max="65" width="16.42578125" style="4" bestFit="1" customWidth="1"/>
    <col min="66" max="66" width="15.5703125" style="4" bestFit="1" customWidth="1"/>
    <col min="67" max="67" width="15.85546875" style="4" bestFit="1" customWidth="1"/>
    <col min="68" max="68" width="15.5703125" style="4" customWidth="1"/>
    <col min="69" max="69" width="7.140625" style="4" bestFit="1" customWidth="1"/>
    <col min="70" max="70" width="15.5703125" style="4" customWidth="1"/>
    <col min="71" max="71" width="16.7109375" style="4" bestFit="1" customWidth="1"/>
    <col min="72" max="72" width="16.42578125" style="4" bestFit="1" customWidth="1"/>
    <col min="73" max="73" width="15.5703125" style="4" bestFit="1" customWidth="1"/>
    <col min="74" max="74" width="15.85546875" style="4" bestFit="1" customWidth="1"/>
    <col min="75" max="77" width="11.7109375" style="4" customWidth="1"/>
    <col min="78" max="78" width="17.85546875" style="4" bestFit="1" customWidth="1"/>
    <col min="79" max="79" width="17.5703125" style="4" bestFit="1" customWidth="1"/>
    <col min="80" max="80" width="16.7109375" style="4" bestFit="1" customWidth="1"/>
    <col min="81" max="81" width="17.140625" style="4" bestFit="1" customWidth="1"/>
    <col min="82" max="82" width="13.5703125" style="4" customWidth="1"/>
  </cols>
  <sheetData>
    <row r="1" spans="1:85" ht="30" customHeight="1" x14ac:dyDescent="0.25">
      <c r="A1" s="229" t="s">
        <v>28</v>
      </c>
      <c r="B1" s="229"/>
      <c r="C1" s="229"/>
      <c r="D1" s="229"/>
      <c r="E1" s="230"/>
      <c r="F1" s="115" t="s">
        <v>29</v>
      </c>
      <c r="G1" s="227" t="s">
        <v>30</v>
      </c>
      <c r="H1" s="228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8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44</v>
      </c>
      <c r="N2" s="70" t="s">
        <v>45</v>
      </c>
      <c r="O2" s="71" t="s">
        <v>46</v>
      </c>
      <c r="P2" s="71" t="s">
        <v>47</v>
      </c>
      <c r="Q2" s="71" t="s">
        <v>48</v>
      </c>
      <c r="R2" s="71" t="s">
        <v>49</v>
      </c>
      <c r="S2" s="72" t="s">
        <v>50</v>
      </c>
      <c r="T2" s="70" t="s">
        <v>44</v>
      </c>
      <c r="U2" s="70" t="s">
        <v>45</v>
      </c>
      <c r="V2" s="73" t="s">
        <v>51</v>
      </c>
      <c r="W2" s="73" t="s">
        <v>52</v>
      </c>
      <c r="X2" s="11" t="s">
        <v>53</v>
      </c>
      <c r="Y2" s="11" t="s">
        <v>54</v>
      </c>
      <c r="Z2" s="12" t="s">
        <v>50</v>
      </c>
      <c r="AA2" s="70" t="s">
        <v>44</v>
      </c>
      <c r="AB2" s="45" t="s">
        <v>45</v>
      </c>
      <c r="AC2" s="13" t="s">
        <v>55</v>
      </c>
      <c r="AD2" s="13" t="s">
        <v>56</v>
      </c>
      <c r="AE2" s="13" t="s">
        <v>57</v>
      </c>
      <c r="AF2" s="13" t="s">
        <v>58</v>
      </c>
      <c r="AG2" s="14" t="s">
        <v>50</v>
      </c>
      <c r="AH2" s="70" t="s">
        <v>44</v>
      </c>
      <c r="AI2" s="45" t="s">
        <v>45</v>
      </c>
      <c r="AJ2" s="15" t="s">
        <v>59</v>
      </c>
      <c r="AK2" s="15" t="s">
        <v>60</v>
      </c>
      <c r="AL2" s="15" t="s">
        <v>61</v>
      </c>
      <c r="AM2" s="15" t="s">
        <v>62</v>
      </c>
      <c r="AN2" s="16" t="s">
        <v>50</v>
      </c>
      <c r="AO2" s="70" t="s">
        <v>44</v>
      </c>
      <c r="AP2" s="45" t="s">
        <v>45</v>
      </c>
      <c r="AQ2" s="17" t="s">
        <v>63</v>
      </c>
      <c r="AR2" s="17" t="s">
        <v>64</v>
      </c>
      <c r="AS2" s="17" t="s">
        <v>65</v>
      </c>
      <c r="AT2" s="17" t="s">
        <v>66</v>
      </c>
      <c r="AU2" s="16" t="s">
        <v>50</v>
      </c>
      <c r="AV2" s="70" t="s">
        <v>44</v>
      </c>
      <c r="AW2" s="45" t="s">
        <v>45</v>
      </c>
      <c r="AX2" s="18" t="s">
        <v>67</v>
      </c>
      <c r="AY2" s="18" t="s">
        <v>68</v>
      </c>
      <c r="AZ2" s="18" t="s">
        <v>69</v>
      </c>
      <c r="BA2" s="18" t="s">
        <v>70</v>
      </c>
      <c r="BB2" s="16" t="s">
        <v>50</v>
      </c>
      <c r="BC2" s="70" t="s">
        <v>44</v>
      </c>
      <c r="BD2" s="45" t="s">
        <v>45</v>
      </c>
      <c r="BE2" s="18" t="s">
        <v>71</v>
      </c>
      <c r="BF2" s="18" t="s">
        <v>72</v>
      </c>
      <c r="BG2" s="18" t="s">
        <v>73</v>
      </c>
      <c r="BH2" s="18" t="s">
        <v>74</v>
      </c>
      <c r="BI2" s="16" t="s">
        <v>50</v>
      </c>
      <c r="BJ2" s="70" t="s">
        <v>44</v>
      </c>
      <c r="BK2" s="45" t="s">
        <v>45</v>
      </c>
      <c r="BL2" s="18" t="s">
        <v>75</v>
      </c>
      <c r="BM2" s="18" t="s">
        <v>76</v>
      </c>
      <c r="BN2" s="18" t="s">
        <v>77</v>
      </c>
      <c r="BO2" s="18" t="s">
        <v>78</v>
      </c>
      <c r="BP2" s="16" t="s">
        <v>50</v>
      </c>
      <c r="BQ2" s="70" t="s">
        <v>44</v>
      </c>
      <c r="BR2" s="45" t="s">
        <v>45</v>
      </c>
      <c r="BS2" s="18" t="s">
        <v>79</v>
      </c>
      <c r="BT2" s="18" t="s">
        <v>80</v>
      </c>
      <c r="BU2" s="18" t="s">
        <v>81</v>
      </c>
      <c r="BV2" s="18" t="s">
        <v>82</v>
      </c>
      <c r="BW2" s="16" t="s">
        <v>50</v>
      </c>
      <c r="BX2" s="70" t="s">
        <v>44</v>
      </c>
      <c r="BY2" s="45" t="s">
        <v>45</v>
      </c>
      <c r="BZ2" s="18" t="s">
        <v>83</v>
      </c>
      <c r="CA2" s="18" t="s">
        <v>84</v>
      </c>
      <c r="CB2" s="18" t="s">
        <v>85</v>
      </c>
      <c r="CC2" s="18" t="s">
        <v>86</v>
      </c>
      <c r="CD2" s="16" t="s">
        <v>50</v>
      </c>
    </row>
    <row r="3" spans="1:85" s="151" customFormat="1" x14ac:dyDescent="0.25">
      <c r="A3" s="152"/>
      <c r="B3" s="137" t="s">
        <v>212</v>
      </c>
      <c r="C3" s="138">
        <v>4217801001</v>
      </c>
      <c r="D3" s="141">
        <v>46045</v>
      </c>
      <c r="E3" s="138">
        <v>84172</v>
      </c>
      <c r="F3" s="138" t="s">
        <v>447</v>
      </c>
      <c r="G3" s="138">
        <v>2</v>
      </c>
      <c r="H3" s="138">
        <v>51070</v>
      </c>
      <c r="I3" s="138" t="s">
        <v>448</v>
      </c>
      <c r="J3" s="138" t="s">
        <v>120</v>
      </c>
      <c r="K3" s="138">
        <v>1</v>
      </c>
      <c r="L3" s="138">
        <v>10102</v>
      </c>
      <c r="M3" s="138">
        <v>19</v>
      </c>
      <c r="N3" s="138"/>
      <c r="O3" s="138"/>
      <c r="P3" s="138"/>
      <c r="Q3" s="138">
        <v>15</v>
      </c>
      <c r="R3" s="138">
        <v>40</v>
      </c>
      <c r="S3" s="138"/>
      <c r="T3" s="138"/>
      <c r="U3" s="138"/>
      <c r="V3" s="138"/>
      <c r="W3" s="152"/>
      <c r="X3" s="153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</row>
    <row r="4" spans="1:85" s="90" customFormat="1" x14ac:dyDescent="0.25">
      <c r="A4" s="88" t="s">
        <v>421</v>
      </c>
      <c r="B4" s="94" t="s">
        <v>563</v>
      </c>
      <c r="C4" s="88">
        <v>4376901017</v>
      </c>
      <c r="D4" s="89">
        <v>46045</v>
      </c>
      <c r="E4" s="88">
        <v>90526</v>
      </c>
      <c r="F4" s="88" t="s">
        <v>271</v>
      </c>
      <c r="G4" s="88">
        <v>6</v>
      </c>
      <c r="H4" s="88">
        <v>41645</v>
      </c>
      <c r="I4" s="88" t="s">
        <v>564</v>
      </c>
      <c r="J4" s="88" t="s">
        <v>106</v>
      </c>
      <c r="K4" s="88">
        <v>36</v>
      </c>
      <c r="L4" s="88">
        <v>10108</v>
      </c>
      <c r="M4" s="88"/>
      <c r="N4" s="91">
        <v>0.375</v>
      </c>
      <c r="O4" s="88">
        <v>46</v>
      </c>
      <c r="P4" s="88">
        <v>48</v>
      </c>
      <c r="Q4" s="88">
        <v>50</v>
      </c>
      <c r="R4" s="88">
        <v>50</v>
      </c>
      <c r="S4" s="88"/>
      <c r="T4" s="88"/>
      <c r="U4" s="91">
        <v>0.375</v>
      </c>
      <c r="V4" s="88">
        <v>50</v>
      </c>
      <c r="W4" s="88">
        <v>50</v>
      </c>
      <c r="X4" s="94">
        <v>50</v>
      </c>
      <c r="Y4" s="88">
        <v>50</v>
      </c>
      <c r="Z4" s="88"/>
      <c r="AA4" s="88"/>
      <c r="AB4" s="91">
        <v>0.375</v>
      </c>
      <c r="AC4" s="88">
        <v>50</v>
      </c>
      <c r="AD4" s="88">
        <v>43</v>
      </c>
      <c r="AE4" s="88">
        <v>50</v>
      </c>
      <c r="AF4" s="88">
        <v>50</v>
      </c>
      <c r="AG4" s="88"/>
      <c r="AH4" s="88"/>
      <c r="AI4" s="91">
        <v>0.375</v>
      </c>
      <c r="AJ4" s="88">
        <v>30</v>
      </c>
      <c r="AK4" s="88">
        <v>41</v>
      </c>
      <c r="AL4" s="88">
        <v>50</v>
      </c>
      <c r="AM4" s="88">
        <v>50</v>
      </c>
      <c r="AN4" s="88"/>
      <c r="AO4" s="88"/>
      <c r="AP4" s="88"/>
      <c r="AQ4" s="88">
        <v>50</v>
      </c>
      <c r="AR4" s="88">
        <v>50</v>
      </c>
      <c r="AS4" s="88">
        <v>50</v>
      </c>
      <c r="AT4" s="88">
        <v>50</v>
      </c>
      <c r="AU4" s="88"/>
      <c r="AV4" s="88"/>
      <c r="AW4" s="88"/>
      <c r="AX4" s="88">
        <v>3</v>
      </c>
      <c r="AY4" s="88">
        <v>1</v>
      </c>
      <c r="AZ4" s="88">
        <v>3</v>
      </c>
      <c r="BA4" s="88">
        <v>3</v>
      </c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</row>
    <row r="5" spans="1:85" s="49" customFormat="1" x14ac:dyDescent="0.25">
      <c r="A5" s="46" t="s">
        <v>421</v>
      </c>
      <c r="B5" s="64" t="s">
        <v>212</v>
      </c>
      <c r="C5" s="46">
        <v>4752801001</v>
      </c>
      <c r="D5" s="47">
        <v>46045</v>
      </c>
      <c r="E5" s="46">
        <v>94101</v>
      </c>
      <c r="F5" s="46" t="s">
        <v>565</v>
      </c>
      <c r="G5" s="46">
        <v>2</v>
      </c>
      <c r="H5" s="46">
        <v>55277</v>
      </c>
      <c r="I5" s="46" t="s">
        <v>566</v>
      </c>
      <c r="J5" s="46"/>
      <c r="K5" s="46">
        <v>2</v>
      </c>
      <c r="L5" s="46">
        <v>10101</v>
      </c>
      <c r="M5" s="46"/>
      <c r="N5" s="48">
        <v>0.47222222222222221</v>
      </c>
      <c r="O5" s="46">
        <v>25</v>
      </c>
      <c r="P5" s="46">
        <v>28</v>
      </c>
      <c r="Q5" s="46">
        <v>24</v>
      </c>
      <c r="R5" s="46">
        <v>24</v>
      </c>
      <c r="S5" s="46"/>
      <c r="T5" s="46"/>
      <c r="U5" s="46"/>
      <c r="V5" s="46">
        <v>33</v>
      </c>
      <c r="W5" s="46">
        <v>18</v>
      </c>
      <c r="X5" s="64">
        <v>4</v>
      </c>
      <c r="Y5" s="46">
        <v>4</v>
      </c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G5" s="49" t="s">
        <v>421</v>
      </c>
    </row>
    <row r="6" spans="1:85" x14ac:dyDescent="0.25">
      <c r="A6" s="84"/>
      <c r="B6" s="21" t="s">
        <v>212</v>
      </c>
      <c r="C6" s="4">
        <v>4753001001</v>
      </c>
      <c r="D6" s="50">
        <v>46045</v>
      </c>
      <c r="E6" s="4">
        <v>94642</v>
      </c>
      <c r="F6" s="4" t="s">
        <v>567</v>
      </c>
      <c r="G6" s="4">
        <v>1</v>
      </c>
      <c r="H6" s="4">
        <v>50904</v>
      </c>
      <c r="I6" s="4" t="s">
        <v>568</v>
      </c>
      <c r="J6" s="4" t="s">
        <v>346</v>
      </c>
      <c r="K6" s="4">
        <v>1</v>
      </c>
      <c r="L6" s="4">
        <v>10106</v>
      </c>
      <c r="X6" s="21"/>
      <c r="CG6" t="s">
        <v>426</v>
      </c>
    </row>
    <row r="7" spans="1:85" s="133" customFormat="1" x14ac:dyDescent="0.25">
      <c r="A7" s="154" t="s">
        <v>426</v>
      </c>
      <c r="B7" s="131" t="s">
        <v>212</v>
      </c>
      <c r="C7" s="132">
        <v>4750301001</v>
      </c>
      <c r="D7" s="155">
        <v>46045</v>
      </c>
      <c r="E7" s="132">
        <v>94767</v>
      </c>
      <c r="F7" s="132" t="s">
        <v>543</v>
      </c>
      <c r="G7" s="132">
        <v>2</v>
      </c>
      <c r="H7" s="132">
        <v>57965</v>
      </c>
      <c r="I7" s="132" t="s">
        <v>544</v>
      </c>
      <c r="J7" s="132" t="s">
        <v>106</v>
      </c>
      <c r="K7" s="132">
        <v>2</v>
      </c>
      <c r="L7" s="132">
        <v>10103</v>
      </c>
      <c r="M7" s="132"/>
      <c r="N7" s="132"/>
      <c r="O7" s="132">
        <v>3</v>
      </c>
      <c r="P7" s="132">
        <v>1</v>
      </c>
      <c r="Q7" s="132">
        <v>5</v>
      </c>
      <c r="R7" s="132">
        <v>7</v>
      </c>
      <c r="S7" s="132" t="s">
        <v>569</v>
      </c>
      <c r="T7" s="132"/>
      <c r="U7" s="132"/>
      <c r="V7" s="132">
        <v>1</v>
      </c>
      <c r="W7" s="132">
        <v>2</v>
      </c>
      <c r="X7" s="156">
        <v>2</v>
      </c>
      <c r="Y7" s="157">
        <v>5</v>
      </c>
      <c r="Z7" s="157" t="s">
        <v>570</v>
      </c>
      <c r="AA7" s="157"/>
      <c r="AB7" s="132"/>
      <c r="AC7" s="132"/>
      <c r="AD7" s="132"/>
      <c r="AE7" s="132"/>
      <c r="AF7" s="132"/>
      <c r="AG7" s="132"/>
      <c r="AH7" s="157"/>
      <c r="AI7" s="132"/>
      <c r="AJ7" s="132"/>
      <c r="AK7" s="132"/>
      <c r="AL7" s="132"/>
      <c r="AM7" s="132"/>
      <c r="AN7" s="132"/>
      <c r="AO7" s="157"/>
      <c r="AP7" s="132"/>
      <c r="AQ7" s="132"/>
      <c r="AR7" s="132"/>
      <c r="AS7" s="132"/>
      <c r="AT7" s="132"/>
      <c r="AU7" s="132"/>
      <c r="AV7" s="157"/>
      <c r="AW7" s="132"/>
      <c r="AX7" s="132"/>
      <c r="AY7" s="132"/>
      <c r="AZ7" s="132"/>
      <c r="BA7" s="132"/>
      <c r="BB7" s="132"/>
      <c r="BC7" s="157"/>
      <c r="BD7" s="132"/>
      <c r="BE7" s="132"/>
      <c r="BF7" s="132"/>
      <c r="BG7" s="132"/>
      <c r="BH7" s="132"/>
      <c r="BI7" s="132"/>
      <c r="BJ7" s="157"/>
      <c r="BK7" s="132"/>
      <c r="BL7" s="132"/>
      <c r="BM7" s="132"/>
      <c r="BN7" s="132"/>
      <c r="BO7" s="132"/>
      <c r="BP7" s="132"/>
      <c r="BQ7" s="157"/>
      <c r="BR7" s="132"/>
      <c r="BS7" s="132"/>
      <c r="BT7" s="132"/>
      <c r="BU7" s="132"/>
      <c r="BV7" s="132"/>
      <c r="BW7" s="132"/>
      <c r="BX7" s="157"/>
      <c r="BY7" s="132"/>
      <c r="BZ7" s="132"/>
      <c r="CA7" s="132"/>
      <c r="CB7" s="132"/>
      <c r="CC7" s="132"/>
      <c r="CD7" s="132"/>
      <c r="CG7" s="133" t="s">
        <v>428</v>
      </c>
    </row>
    <row r="8" spans="1:85" s="49" customFormat="1" x14ac:dyDescent="0.25">
      <c r="A8" s="46" t="s">
        <v>428</v>
      </c>
      <c r="B8" s="64"/>
      <c r="C8" s="46">
        <v>4753701003</v>
      </c>
      <c r="D8" s="47">
        <v>46044</v>
      </c>
      <c r="E8" s="46">
        <v>93478</v>
      </c>
      <c r="F8" s="46" t="s">
        <v>359</v>
      </c>
      <c r="G8" s="46">
        <v>2</v>
      </c>
      <c r="H8" s="46">
        <v>50568</v>
      </c>
      <c r="I8" s="46" t="s">
        <v>540</v>
      </c>
      <c r="J8" s="46" t="s">
        <v>103</v>
      </c>
      <c r="K8" s="46">
        <v>1</v>
      </c>
      <c r="L8" s="46">
        <v>10107</v>
      </c>
      <c r="M8" s="46"/>
      <c r="N8" s="48">
        <v>0.75</v>
      </c>
      <c r="O8" s="46">
        <v>40</v>
      </c>
      <c r="P8" s="46">
        <v>40</v>
      </c>
      <c r="Q8" s="46"/>
      <c r="R8" s="46"/>
      <c r="S8" s="46"/>
      <c r="T8" s="46"/>
      <c r="U8" s="46"/>
      <c r="V8" s="46">
        <v>50</v>
      </c>
      <c r="W8" s="46">
        <v>50</v>
      </c>
      <c r="X8" s="92"/>
      <c r="Y8" s="93"/>
      <c r="Z8" s="93"/>
      <c r="AA8" s="93"/>
      <c r="AB8" s="46"/>
      <c r="AC8" s="46"/>
      <c r="AD8" s="46"/>
      <c r="AE8" s="46"/>
      <c r="AF8" s="46"/>
      <c r="AG8" s="46"/>
      <c r="AH8" s="56"/>
      <c r="AI8" s="46"/>
      <c r="AJ8" s="46"/>
      <c r="AK8" s="46"/>
      <c r="AL8" s="46"/>
      <c r="AM8" s="46"/>
      <c r="AN8" s="46"/>
      <c r="AO8" s="56"/>
      <c r="AP8" s="46"/>
      <c r="AQ8" s="46"/>
      <c r="AR8" s="46"/>
      <c r="AS8" s="46"/>
      <c r="AT8" s="46"/>
      <c r="AU8" s="46"/>
      <c r="AV8" s="56"/>
      <c r="AW8" s="46"/>
      <c r="AX8" s="46"/>
      <c r="AY8" s="46"/>
      <c r="AZ8" s="46"/>
      <c r="BA8" s="46"/>
      <c r="BB8" s="46"/>
      <c r="BC8" s="56"/>
      <c r="BD8" s="46"/>
      <c r="BE8" s="46"/>
      <c r="BF8" s="46"/>
      <c r="BG8" s="46"/>
      <c r="BH8" s="46"/>
      <c r="BI8" s="46"/>
      <c r="BJ8" s="56"/>
      <c r="BK8" s="46"/>
      <c r="BL8" s="46"/>
      <c r="BM8" s="46"/>
      <c r="BN8" s="46"/>
      <c r="BO8" s="46"/>
      <c r="BP8" s="46"/>
      <c r="BQ8" s="56"/>
      <c r="BR8" s="46"/>
      <c r="BS8" s="46"/>
      <c r="BT8" s="46"/>
      <c r="BU8" s="46"/>
      <c r="BV8" s="46"/>
      <c r="BW8" s="46"/>
      <c r="BX8" s="56"/>
      <c r="BY8" s="46"/>
      <c r="BZ8" s="46"/>
      <c r="CA8" s="46"/>
      <c r="CB8" s="46"/>
      <c r="CC8" s="46"/>
      <c r="CD8" s="46"/>
      <c r="CG8" s="49" t="s">
        <v>430</v>
      </c>
    </row>
    <row r="9" spans="1:85" s="49" customFormat="1" x14ac:dyDescent="0.25">
      <c r="A9" s="46" t="s">
        <v>421</v>
      </c>
      <c r="B9" s="64"/>
      <c r="C9" s="46">
        <v>4733601004</v>
      </c>
      <c r="D9" s="47">
        <v>46052</v>
      </c>
      <c r="E9" s="46">
        <v>91610</v>
      </c>
      <c r="F9" s="46" t="s">
        <v>397</v>
      </c>
      <c r="G9" s="46">
        <v>1</v>
      </c>
      <c r="H9" s="46">
        <v>54898</v>
      </c>
      <c r="I9" s="46" t="s">
        <v>415</v>
      </c>
      <c r="J9" s="46" t="s">
        <v>399</v>
      </c>
      <c r="K9" s="46">
        <v>20</v>
      </c>
      <c r="L9" s="46">
        <v>10103</v>
      </c>
      <c r="M9" s="46"/>
      <c r="N9" s="48">
        <v>0.375</v>
      </c>
      <c r="O9" s="46">
        <v>50</v>
      </c>
      <c r="P9" s="46">
        <v>48</v>
      </c>
      <c r="Q9" s="46">
        <v>20</v>
      </c>
      <c r="R9" s="46">
        <v>20</v>
      </c>
      <c r="S9" s="46"/>
      <c r="T9" s="46"/>
      <c r="U9" s="46"/>
      <c r="V9" s="46"/>
      <c r="W9" s="46"/>
      <c r="X9" s="117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</row>
    <row r="10" spans="1:85" s="49" customFormat="1" x14ac:dyDescent="0.25">
      <c r="A10" s="46" t="s">
        <v>421</v>
      </c>
      <c r="B10" s="64"/>
      <c r="C10" s="46">
        <v>4756001021</v>
      </c>
      <c r="D10" s="47">
        <v>46048</v>
      </c>
      <c r="E10" s="46">
        <v>93929</v>
      </c>
      <c r="F10" s="46" t="s">
        <v>130</v>
      </c>
      <c r="G10" s="46">
        <v>1</v>
      </c>
      <c r="H10" s="46">
        <v>57604</v>
      </c>
      <c r="I10" s="46" t="s">
        <v>131</v>
      </c>
      <c r="J10" s="46" t="s">
        <v>103</v>
      </c>
      <c r="K10" s="46">
        <v>1</v>
      </c>
      <c r="L10" s="46">
        <v>10104</v>
      </c>
      <c r="M10" s="46"/>
      <c r="N10" s="48">
        <v>0.37708333333333333</v>
      </c>
      <c r="O10" s="46">
        <v>25</v>
      </c>
      <c r="P10" s="46">
        <v>25</v>
      </c>
      <c r="Q10" s="46">
        <v>42</v>
      </c>
      <c r="R10" s="46">
        <v>50</v>
      </c>
      <c r="S10" s="46"/>
      <c r="T10" s="46"/>
      <c r="U10" s="46"/>
      <c r="V10" s="46"/>
      <c r="W10" s="46"/>
      <c r="X10" s="64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</row>
    <row r="11" spans="1:85" x14ac:dyDescent="0.25">
      <c r="A11" s="84"/>
      <c r="X11" s="21"/>
    </row>
    <row r="12" spans="1:85" x14ac:dyDescent="0.25">
      <c r="A12" s="84"/>
      <c r="X12" s="21"/>
    </row>
    <row r="13" spans="1:85" x14ac:dyDescent="0.25">
      <c r="A13" s="84"/>
      <c r="X13" s="21"/>
    </row>
    <row r="14" spans="1:85" x14ac:dyDescent="0.25">
      <c r="A14" s="84"/>
      <c r="X14" s="21"/>
    </row>
    <row r="15" spans="1:85" x14ac:dyDescent="0.25">
      <c r="A15" s="84"/>
      <c r="X15" s="21"/>
    </row>
    <row r="16" spans="1:85" x14ac:dyDescent="0.25">
      <c r="A16" s="84"/>
      <c r="X16" s="21"/>
    </row>
    <row r="17" spans="1:82" x14ac:dyDescent="0.25">
      <c r="A17" s="84"/>
      <c r="X17" s="21"/>
    </row>
    <row r="18" spans="1:82" x14ac:dyDescent="0.25">
      <c r="A18" s="84"/>
      <c r="X18" s="21"/>
    </row>
    <row r="19" spans="1:82" x14ac:dyDescent="0.25">
      <c r="A19" s="84"/>
      <c r="X19" s="21"/>
    </row>
    <row r="20" spans="1:82" x14ac:dyDescent="0.25">
      <c r="A20" s="84"/>
      <c r="X20" s="21"/>
    </row>
    <row r="21" spans="1:82" x14ac:dyDescent="0.25">
      <c r="A21" s="84"/>
      <c r="X21" s="21"/>
    </row>
    <row r="22" spans="1:82" x14ac:dyDescent="0.25">
      <c r="A22" s="84"/>
      <c r="X22" s="21"/>
    </row>
    <row r="23" spans="1:82" x14ac:dyDescent="0.25">
      <c r="A23" s="84"/>
      <c r="X23" s="21"/>
    </row>
    <row r="24" spans="1:82" x14ac:dyDescent="0.25">
      <c r="A24" s="84"/>
      <c r="X24" s="21"/>
    </row>
    <row r="25" spans="1:82" x14ac:dyDescent="0.25">
      <c r="A25" s="84"/>
      <c r="X25" s="21"/>
    </row>
    <row r="26" spans="1:82" x14ac:dyDescent="0.25">
      <c r="A26" s="84"/>
      <c r="X26" s="21"/>
    </row>
    <row r="27" spans="1:82" x14ac:dyDescent="0.25">
      <c r="A27" s="84"/>
      <c r="X27" s="21"/>
    </row>
    <row r="28" spans="1:82" x14ac:dyDescent="0.25">
      <c r="A28" s="84"/>
      <c r="X28" s="21"/>
    </row>
    <row r="29" spans="1:82" x14ac:dyDescent="0.25">
      <c r="A29" s="84"/>
      <c r="X29" s="21"/>
    </row>
    <row r="30" spans="1:82" x14ac:dyDescent="0.25">
      <c r="A30" s="84"/>
      <c r="X30" s="21"/>
    </row>
    <row r="31" spans="1:82" s="81" customFormat="1" x14ac:dyDescent="0.25">
      <c r="A31" s="84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84"/>
      <c r="X31" s="85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</row>
    <row r="32" spans="1:82" s="82" customFormat="1" x14ac:dyDescent="0.25">
      <c r="A32" s="84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86"/>
      <c r="X32" s="87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</row>
    <row r="33" spans="1:24" x14ac:dyDescent="0.25">
      <c r="A33" s="84"/>
      <c r="X33" s="21"/>
    </row>
    <row r="34" spans="1:24" x14ac:dyDescent="0.25">
      <c r="A34" s="84"/>
      <c r="X34" s="21"/>
    </row>
    <row r="35" spans="1:24" x14ac:dyDescent="0.25">
      <c r="A35" s="84"/>
      <c r="X35" s="21"/>
    </row>
    <row r="36" spans="1:24" x14ac:dyDescent="0.25">
      <c r="A36" s="84"/>
      <c r="X36" s="21"/>
    </row>
    <row r="37" spans="1:24" x14ac:dyDescent="0.25">
      <c r="A37" s="84"/>
      <c r="X37" s="21"/>
    </row>
    <row r="38" spans="1:24" x14ac:dyDescent="0.25">
      <c r="A38" s="84"/>
      <c r="X38" s="21"/>
    </row>
    <row r="39" spans="1:24" x14ac:dyDescent="0.25">
      <c r="A39" s="84"/>
      <c r="X39" s="21"/>
    </row>
    <row r="40" spans="1:24" x14ac:dyDescent="0.25">
      <c r="A40" s="84"/>
      <c r="X40" s="21"/>
    </row>
    <row r="41" spans="1:24" x14ac:dyDescent="0.25">
      <c r="A41" s="84"/>
      <c r="X41" s="21"/>
    </row>
    <row r="42" spans="1:24" x14ac:dyDescent="0.25">
      <c r="A42" s="84"/>
      <c r="X42" s="21"/>
    </row>
    <row r="43" spans="1:24" x14ac:dyDescent="0.25">
      <c r="A43" s="84"/>
      <c r="X43" s="21"/>
    </row>
    <row r="44" spans="1:24" x14ac:dyDescent="0.25">
      <c r="A44" s="84"/>
      <c r="X44" s="21"/>
    </row>
    <row r="45" spans="1:24" x14ac:dyDescent="0.25">
      <c r="A45" s="84"/>
      <c r="X45" s="21"/>
    </row>
    <row r="46" spans="1:24" x14ac:dyDescent="0.25">
      <c r="A46" s="84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spans="1:24" x14ac:dyDescent="0.25">
      <c r="A47" s="84"/>
    </row>
    <row r="48" spans="1:24" x14ac:dyDescent="0.25">
      <c r="A48" s="84"/>
    </row>
    <row r="49" spans="1:1" x14ac:dyDescent="0.25">
      <c r="A49" s="84"/>
    </row>
    <row r="50" spans="1:1" x14ac:dyDescent="0.25">
      <c r="A50" s="84"/>
    </row>
    <row r="51" spans="1:1" x14ac:dyDescent="0.25">
      <c r="A51" s="84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A1:E1"/>
    <mergeCell ref="G1:H1"/>
  </mergeCells>
  <conditionalFormatting sqref="A3:A51">
    <cfRule type="containsText" dxfId="7" priority="1" operator="containsText" text="PEDRO">
      <formula>NOT(ISERROR(SEARCH("PEDRO",A3)))</formula>
    </cfRule>
    <cfRule type="containsText" dxfId="6" priority="2" operator="containsText" text="YGOR">
      <formula>NOT(ISERROR(SEARCH("YGOR",A3)))</formula>
    </cfRule>
    <cfRule type="containsText" dxfId="5" priority="3" operator="containsText" text="ALEXANDRE">
      <formula>NOT(ISERROR(SEARCH("ALEXANDRE",A3)))</formula>
    </cfRule>
    <cfRule type="containsText" dxfId="4" priority="4" operator="containsText" text="LILIAN">
      <formula>NOT(ISERROR(SEARCH("LILIAN",A3)))</formula>
    </cfRule>
  </conditionalFormatting>
  <conditionalFormatting sqref="J1:J1048576">
    <cfRule type="containsText" dxfId="3" priority="5" operator="containsText" text="ALFA TRANSPORTES">
      <formula>NOT(ISERROR(SEARCH("ALFA TRANSPORTES",J1)))</formula>
    </cfRule>
    <cfRule type="containsText" dxfId="2" priority="6" operator="containsText" text="NEW BIGTRANS">
      <formula>NOT(ISERROR(SEARCH("NEW BIGTRANS",J1)))</formula>
    </cfRule>
    <cfRule type="containsText" dxfId="1" priority="7" operator="containsText" text="EXPRESSO SAO MIGUEL">
      <formula>NOT(ISERROR(SEARCH("EXPRESSO SAO MIGUEL",J1)))</formula>
    </cfRule>
    <cfRule type="containsText" dxfId="0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FE7E69FE-9ECC-446B-8DB1-DC92CC1E02E3}">
      <formula1>$CG$5:$CG$8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40</vt:i4>
      </vt:variant>
      <vt:variant>
        <vt:lpstr>Intervalos Nomeados</vt:lpstr>
      </vt:variant>
      <vt:variant>
        <vt:i4>1</vt:i4>
      </vt:variant>
    </vt:vector>
  </HeadingPairs>
  <TitlesOfParts>
    <vt:vector size="41" baseType="lpstr">
      <vt:lpstr>LAPAROL-057787-EMENDAS</vt:lpstr>
      <vt:lpstr>QUARKS-025045-EMENDAS</vt:lpstr>
      <vt:lpstr>EMENDA-DHALMAR-057308</vt:lpstr>
      <vt:lpstr>TERCEIRO - GALMETA  - EDSON</vt:lpstr>
      <vt:lpstr>PADRÃO GUIA - EMENDAS</vt:lpstr>
      <vt:lpstr>Padrão (Usar como Modelo)</vt:lpstr>
      <vt:lpstr>05-01</vt:lpstr>
      <vt:lpstr>06-01</vt:lpstr>
      <vt:lpstr>QUARKS-0092943- EMENDAS</vt:lpstr>
      <vt:lpstr>07-01</vt:lpstr>
      <vt:lpstr>0094168 - MASSINI - 057644</vt:lpstr>
      <vt:lpstr>08-01</vt:lpstr>
      <vt:lpstr>0092892 - GDC - 057021</vt:lpstr>
      <vt:lpstr>0092892 - GDC - 057020</vt:lpstr>
      <vt:lpstr>0092892 - GDC - 0570201 - F. 4</vt:lpstr>
      <vt:lpstr>0092892 - GDC - 057020 - F. 1</vt:lpstr>
      <vt:lpstr>0094511-MOTOMAN-047600</vt:lpstr>
      <vt:lpstr>09-01</vt:lpstr>
      <vt:lpstr>12-01</vt:lpstr>
      <vt:lpstr>0094440 -MESSER - 057634</vt:lpstr>
      <vt:lpstr>13-01</vt:lpstr>
      <vt:lpstr>14-01</vt:lpstr>
      <vt:lpstr>0094593 - STATOMAT - 057858</vt:lpstr>
      <vt:lpstr>0094647 - PLASSON - 011109</vt:lpstr>
      <vt:lpstr>0094648 - BIRISOLDAS - 057941</vt:lpstr>
      <vt:lpstr>15-01</vt:lpstr>
      <vt:lpstr>0094634 - MEC  M.N - 057950</vt:lpstr>
      <vt:lpstr>0092943 - QUARKS - 025045</vt:lpstr>
      <vt:lpstr>16-01</vt:lpstr>
      <vt:lpstr>19-01</vt:lpstr>
      <vt:lpstr>20-01</vt:lpstr>
      <vt:lpstr>0094310 - QUARKS - 057733</vt:lpstr>
      <vt:lpstr>0094349 - QUARKS - 057734</vt:lpstr>
      <vt:lpstr>0093734 - VERRY - 054333</vt:lpstr>
      <vt:lpstr>0093304 - QUARKS - 057141</vt:lpstr>
      <vt:lpstr>21-01</vt:lpstr>
      <vt:lpstr>22-01</vt:lpstr>
      <vt:lpstr>COMERCIAL-0094264</vt:lpstr>
      <vt:lpstr>0094232 - MESSER - 056959</vt:lpstr>
      <vt:lpstr>23-01</vt:lpstr>
      <vt:lpstr>'15-01'!Area_de_impressao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Cardoso</cp:lastModifiedBy>
  <cp:revision/>
  <dcterms:created xsi:type="dcterms:W3CDTF">2024-12-02T16:35:09Z</dcterms:created>
  <dcterms:modified xsi:type="dcterms:W3CDTF">2026-02-12T18:18:01Z</dcterms:modified>
  <cp:category/>
  <cp:contentStatus/>
</cp:coreProperties>
</file>