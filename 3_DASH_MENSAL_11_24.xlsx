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xandy\Documents\GitHub\Dash_Mectrol\"/>
    </mc:Choice>
  </mc:AlternateContent>
  <xr:revisionPtr revIDLastSave="0" documentId="13_ncr:1_{E0C3CF3C-C36F-44D6-8CBE-D0F994C1C061}" xr6:coauthVersionLast="47" xr6:coauthVersionMax="47" xr10:uidLastSave="{00000000-0000-0000-0000-000000000000}"/>
  <bookViews>
    <workbookView xWindow="-120" yWindow="-120" windowWidth="20730" windowHeight="11160" tabRatio="661" firstSheet="1" activeTab="1" xr2:uid="{00000000-000D-0000-FFFF-FFFF00000000}"/>
  </bookViews>
  <sheets>
    <sheet name="Gráf1" sheetId="8" state="hidden" r:id="rId1"/>
    <sheet name="Lançamentos" sheetId="1" r:id="rId2"/>
    <sheet name="CONFIGURAÇÃO " sheetId="2" r:id="rId3"/>
    <sheet name="PRODUTOS DE REFUGO" sheetId="3" r:id="rId4"/>
    <sheet name="DASH" sheetId="5" r:id="rId5"/>
    <sheet name="Observações" sheetId="6" r:id="rId6"/>
    <sheet name="Indicadores Usinagem" sheetId="7" r:id="rId7"/>
  </sheets>
  <definedNames>
    <definedName name="_xlnm._FilterDatabase" localSheetId="1" hidden="1">Lançamentos!$A$3:$AG$153</definedName>
    <definedName name="_xlnm.Print_Area" localSheetId="3">'PRODUTOS DE REFUGO'!$A$2:$AG$17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8" i="1" l="1"/>
  <c r="E158" i="1"/>
  <c r="F158" i="1"/>
  <c r="G158" i="1"/>
  <c r="H158" i="1"/>
  <c r="I158" i="1"/>
  <c r="J158" i="1"/>
  <c r="R158" i="1" l="1"/>
  <c r="S158" i="1"/>
  <c r="T158" i="1"/>
  <c r="U158" i="1"/>
  <c r="V158" i="1"/>
  <c r="W158" i="1"/>
  <c r="X158" i="1"/>
  <c r="Y158" i="1"/>
  <c r="C35" i="7" s="1"/>
  <c r="C21" i="7" s="1"/>
  <c r="Z158" i="1"/>
  <c r="AA158" i="1"/>
  <c r="Q158" i="1"/>
  <c r="P158" i="1"/>
  <c r="O158" i="1"/>
  <c r="N158" i="1"/>
  <c r="C158" i="1"/>
  <c r="C38" i="7" l="1"/>
  <c r="B41" i="7" s="1"/>
  <c r="C37" i="7"/>
  <c r="F37" i="7"/>
  <c r="C41" i="7"/>
  <c r="F34" i="7"/>
  <c r="C39" i="7"/>
  <c r="C11" i="7"/>
  <c r="C5" i="7"/>
  <c r="C13" i="7" l="1"/>
  <c r="F35" i="7"/>
  <c r="F36" i="7" l="1"/>
  <c r="C43" i="7"/>
  <c r="D26" i="7" s="1"/>
  <c r="C16" i="7"/>
  <c r="D41" i="7"/>
  <c r="C26" i="7"/>
  <c r="D21" i="7"/>
  <c r="A1" i="5"/>
  <c r="D23" i="2"/>
  <c r="C23" i="2"/>
  <c r="B23" i="2"/>
  <c r="D24" i="2"/>
  <c r="C24" i="2"/>
  <c r="B24" i="2"/>
  <c r="L2" i="2"/>
  <c r="O2" i="2" s="1"/>
  <c r="K2" i="2"/>
  <c r="P2" i="2" s="1"/>
  <c r="J2" i="2"/>
  <c r="I2" i="2"/>
  <c r="H2" i="2"/>
  <c r="G2" i="2"/>
  <c r="F2" i="2"/>
  <c r="E2" i="2"/>
  <c r="D2" i="2"/>
  <c r="C2" i="2"/>
  <c r="N2" i="2" s="1"/>
  <c r="B2" i="2"/>
  <c r="M2" i="2" s="1"/>
  <c r="K3" i="2"/>
  <c r="L3" i="2"/>
  <c r="O3" i="2" s="1"/>
  <c r="J3" i="2"/>
  <c r="I3" i="2"/>
  <c r="H3" i="2"/>
  <c r="G3" i="2"/>
  <c r="E3" i="2"/>
  <c r="D3" i="2"/>
  <c r="C3" i="2"/>
  <c r="N3" i="2" s="1"/>
  <c r="B3" i="2"/>
  <c r="D43" i="7" l="1"/>
  <c r="D28" i="7" s="1"/>
  <c r="M3" i="2"/>
  <c r="F32" i="2" s="1"/>
  <c r="O23" i="2" s="1"/>
  <c r="F3" i="2"/>
  <c r="P3" i="2"/>
  <c r="G24" i="2"/>
  <c r="F36" i="2"/>
  <c r="F41" i="2"/>
  <c r="O24" i="2" s="1"/>
  <c r="F44" i="2" l="1"/>
  <c r="O26" i="2" s="1"/>
  <c r="C18" i="7" s="1"/>
  <c r="C28" i="7"/>
  <c r="O25" i="2"/>
  <c r="C33" i="7" s="1"/>
  <c r="C23" i="7" s="1"/>
  <c r="D35" i="7" l="1"/>
  <c r="D37" i="7"/>
  <c r="D23" i="7" s="1"/>
</calcChain>
</file>

<file path=xl/sharedStrings.xml><?xml version="1.0" encoding="utf-8"?>
<sst xmlns="http://schemas.openxmlformats.org/spreadsheetml/2006/main" count="1365" uniqueCount="549">
  <si>
    <t>Data</t>
  </si>
  <si>
    <t>Codigo</t>
  </si>
  <si>
    <t>Fuso Retificado</t>
  </si>
  <si>
    <t>Fuso Retificado Adaptado</t>
  </si>
  <si>
    <t>Castanha Retificada Adaptada</t>
  </si>
  <si>
    <t>Fuso Laminado</t>
  </si>
  <si>
    <t>Castanha Laminada Adaptada</t>
  </si>
  <si>
    <t>Fuso Laminado Adaptado</t>
  </si>
  <si>
    <t>Guia</t>
  </si>
  <si>
    <t>Bloco</t>
  </si>
  <si>
    <t>Cliente</t>
  </si>
  <si>
    <t>Pedido</t>
  </si>
  <si>
    <t>OP</t>
  </si>
  <si>
    <t>Peças produzidas</t>
  </si>
  <si>
    <t>Aprovado</t>
  </si>
  <si>
    <t>Reprovado</t>
  </si>
  <si>
    <t>Usinagem</t>
  </si>
  <si>
    <t>Inspeção</t>
  </si>
  <si>
    <t>Desenho</t>
  </si>
  <si>
    <t>Programação CNC</t>
  </si>
  <si>
    <t>Produção</t>
  </si>
  <si>
    <t>Comercial</t>
  </si>
  <si>
    <t>PCP</t>
  </si>
  <si>
    <t>RETRABALHO OUTROS DP</t>
  </si>
  <si>
    <t>Retrabalho</t>
  </si>
  <si>
    <t>Morta outros</t>
  </si>
  <si>
    <t>Morta usin.</t>
  </si>
  <si>
    <t>Data de entrada</t>
  </si>
  <si>
    <t>Data de saída</t>
  </si>
  <si>
    <t>Inspetor</t>
  </si>
  <si>
    <t>Inspetor Responsavél</t>
  </si>
  <si>
    <t>Observação</t>
  </si>
  <si>
    <t>LOGO</t>
  </si>
  <si>
    <t>CONTROLE DE QUALIDADE</t>
  </si>
  <si>
    <t>DASH!A1</t>
  </si>
  <si>
    <t>046899</t>
  </si>
  <si>
    <t xml:space="preserve">MAHLE </t>
  </si>
  <si>
    <t>0084540</t>
  </si>
  <si>
    <t>0370801001</t>
  </si>
  <si>
    <t>JOSE/ALEXANDRE</t>
  </si>
  <si>
    <t>WILLIAN</t>
  </si>
  <si>
    <t>PORCA CALIBRADORA NÃO ESTAVA PASSANDO NA ROSCA M40x1.5 DIMENSIONAL ALEXANDRE</t>
  </si>
  <si>
    <t>04/11/2024</t>
  </si>
  <si>
    <t>052104</t>
  </si>
  <si>
    <t>TOX</t>
  </si>
  <si>
    <t>0084655</t>
  </si>
  <si>
    <t>03757801001</t>
  </si>
  <si>
    <t>JOSE/WILLIAN</t>
  </si>
  <si>
    <t>DIMENSIONAL JOSE / DESEMPENO E MONTAGEM DE CASTANHA WILLIAN</t>
  </si>
  <si>
    <t>006968</t>
  </si>
  <si>
    <t>RAUMAK</t>
  </si>
  <si>
    <t>0084597</t>
  </si>
  <si>
    <t>03757001001</t>
  </si>
  <si>
    <t>JOSE</t>
  </si>
  <si>
    <t>051664</t>
  </si>
  <si>
    <t>FLEXOPOWER</t>
  </si>
  <si>
    <t>0083870</t>
  </si>
  <si>
    <t>03749901010</t>
  </si>
  <si>
    <t>ALEXANDRE</t>
  </si>
  <si>
    <t>DIMENSIONAL ALEXANDRE DESEMPENO CONFERIDO POR WILLIAN</t>
  </si>
  <si>
    <t>051665</t>
  </si>
  <si>
    <t>03749901011</t>
  </si>
  <si>
    <t>DIMENSIONAL ALEXANDRE DESEMPENO CONFERIDO POR JOSÉ</t>
  </si>
  <si>
    <t>040639</t>
  </si>
  <si>
    <t>AUTOLIV</t>
  </si>
  <si>
    <t>0084704</t>
  </si>
  <si>
    <t>03760801001</t>
  </si>
  <si>
    <t>05/11/2024</t>
  </si>
  <si>
    <t>050797</t>
  </si>
  <si>
    <t>MOTOMAN</t>
  </si>
  <si>
    <t>0082620</t>
  </si>
  <si>
    <t>03728701004</t>
  </si>
  <si>
    <t>JOSÉ</t>
  </si>
  <si>
    <t>GUIA COM 5 DÉCIMOS MENOR EM CADA CORPO COM COMPRIMENTO DE 3412.5mm E 1417.5mm TOTALIZANDO 2 MILIMETROS MENNOR NA EMENDA COMPLETA. FOI LIBEARADA DESTA FORMA</t>
  </si>
  <si>
    <t>052097</t>
  </si>
  <si>
    <t>COMERCIAL</t>
  </si>
  <si>
    <t>0084598</t>
  </si>
  <si>
    <t>03754601001</t>
  </si>
  <si>
    <t>051603</t>
  </si>
  <si>
    <t>MULTIPACK</t>
  </si>
  <si>
    <t>0083822</t>
  </si>
  <si>
    <t>03693901001</t>
  </si>
  <si>
    <t>052020</t>
  </si>
  <si>
    <t>COMAC</t>
  </si>
  <si>
    <t>0084636</t>
  </si>
  <si>
    <t>03757301001</t>
  </si>
  <si>
    <t>COVER CONFERIDO POR ALEXANDRE</t>
  </si>
  <si>
    <t>052136</t>
  </si>
  <si>
    <t>MGFC</t>
  </si>
  <si>
    <t>#28959</t>
  </si>
  <si>
    <t>03750601001</t>
  </si>
  <si>
    <t>DESEMPENO WILLIAN</t>
  </si>
  <si>
    <t>052114</t>
  </si>
  <si>
    <t>MACCAFERRI</t>
  </si>
  <si>
    <t>0084544</t>
  </si>
  <si>
    <t>03751801001</t>
  </si>
  <si>
    <t>FLANGE MAIOR 25.6MM E PRECISO MENOR 4.4MM - OCOREU COMPENSAÇÃO DE MEDIDAS</t>
  </si>
  <si>
    <t>052163</t>
  </si>
  <si>
    <t>CERUMAQ</t>
  </si>
  <si>
    <t>0084648</t>
  </si>
  <si>
    <t>03760201001</t>
  </si>
  <si>
    <t>DIMENSIONAL ALEXANDRE</t>
  </si>
  <si>
    <t>06/11/2024</t>
  </si>
  <si>
    <t>052103</t>
  </si>
  <si>
    <t>CONAN</t>
  </si>
  <si>
    <t>0084680</t>
  </si>
  <si>
    <t>03761801009</t>
  </si>
  <si>
    <t>NO CORPO DE 11mm DE COMPRIMENTO A MEDIDA DO DIAMETRO DE 10mm ESTÁ COM 10mm -0.1 POR QUE ERA PARA SEEGUIR O DESENHO ANTIGO E NÃO O NOVO QUE ESTA SEM A TOLERANCIA DO PEDAÇO QUE VAI O CHANFRO FINAL DA PEÇA.PEÇA FOI LIBERADA COM ESSA MEDIDA PELO DESENHO ANTIGO</t>
  </si>
  <si>
    <t>045673</t>
  </si>
  <si>
    <t>ALTONA</t>
  </si>
  <si>
    <t>ESTOQUE</t>
  </si>
  <si>
    <t>03573801001</t>
  </si>
  <si>
    <t>050919</t>
  </si>
  <si>
    <t>PX</t>
  </si>
  <si>
    <t>0084349</t>
  </si>
  <si>
    <t>03751901001</t>
  </si>
  <si>
    <t>052102</t>
  </si>
  <si>
    <t>03761801008</t>
  </si>
  <si>
    <t>FUSO MORREU O CORPO DA FRENTE DE COMPRIMENTO 15mm DIAMETRO 10mm H7 E O CORPO DE 26mm DE COMPRIMENTO DIAMETRO DE 12mm h7 ESTAVA COM 50% FORA DE TOLERÂNCIA PEÇA OI LIBERADA POSSUI RNC E EMAIL.</t>
  </si>
  <si>
    <t>037490</t>
  </si>
  <si>
    <t>SILBER</t>
  </si>
  <si>
    <t>0084468</t>
  </si>
  <si>
    <t>03746301003</t>
  </si>
  <si>
    <t>GUIA SÓ FACETADA PARA EMENDA FOI GRAVADA.</t>
  </si>
  <si>
    <t>052125</t>
  </si>
  <si>
    <t>03746301004</t>
  </si>
  <si>
    <t>052186</t>
  </si>
  <si>
    <t>ZEN</t>
  </si>
  <si>
    <t>0084681</t>
  </si>
  <si>
    <t>03760401001</t>
  </si>
  <si>
    <t>051881</t>
  </si>
  <si>
    <t>MACLINEA</t>
  </si>
  <si>
    <t>0084590</t>
  </si>
  <si>
    <t>03753501001</t>
  </si>
  <si>
    <t xml:space="preserve">GUIA MORREU NA HORA DO CORTE </t>
  </si>
  <si>
    <t>07/11/2024</t>
  </si>
  <si>
    <t>052152</t>
  </si>
  <si>
    <t>2D SISTEMA</t>
  </si>
  <si>
    <t>0084671</t>
  </si>
  <si>
    <t>03759401003</t>
  </si>
  <si>
    <t>052153</t>
  </si>
  <si>
    <t>03759401004</t>
  </si>
  <si>
    <t>050922</t>
  </si>
  <si>
    <t>NEUMAYER</t>
  </si>
  <si>
    <t>0081637</t>
  </si>
  <si>
    <t>03747601001</t>
  </si>
  <si>
    <t>WILLIAN/ALEXANDRE</t>
  </si>
  <si>
    <t>AO REALIZAR A FURAÇÃO DO PARAFUSO DO RECIRCULADOR, O OPERADOR NÃO SE ATENTOU E PASSOU COM A FRESA ATE O FUSO</t>
  </si>
  <si>
    <t>08/11/2024</t>
  </si>
  <si>
    <t>050763</t>
  </si>
  <si>
    <t>OVERDRILL</t>
  </si>
  <si>
    <t>0084577</t>
  </si>
  <si>
    <t>03755201002</t>
  </si>
  <si>
    <t>049469</t>
  </si>
  <si>
    <t>03755201001</t>
  </si>
  <si>
    <t>DIMENCIONAL ALEXANDRE / INSPEÇÃO JOSE  / ENTREGA PARCIAL FUSO 1 E 6</t>
  </si>
  <si>
    <t>051873</t>
  </si>
  <si>
    <t>ALZILAN</t>
  </si>
  <si>
    <t>BP#31868</t>
  </si>
  <si>
    <t>-</t>
  </si>
  <si>
    <t>DIAMETRO DE 24,5mm H7(0/-0,021), FICOU UMA REGIAO DE 5mm DE COMPRIMENTO COM -0,05/-0,06.</t>
  </si>
  <si>
    <t>037267</t>
  </si>
  <si>
    <t>S V G</t>
  </si>
  <si>
    <t>0068870</t>
  </si>
  <si>
    <t>03687901003</t>
  </si>
  <si>
    <t xml:space="preserve">052196 </t>
  </si>
  <si>
    <t>0084716</t>
  </si>
  <si>
    <t>03763101001</t>
  </si>
  <si>
    <t>052000</t>
  </si>
  <si>
    <t>CASTERTECH</t>
  </si>
  <si>
    <t>0084480</t>
  </si>
  <si>
    <t>03752201001</t>
  </si>
  <si>
    <t>DIMENSIONAL ALEXANDRE / CONFERENCIA DESEMPENO E MONTAGEM DE CASTANHA WILLIAN</t>
  </si>
  <si>
    <t>051967</t>
  </si>
  <si>
    <t>T &amp; M</t>
  </si>
  <si>
    <t>0084621</t>
  </si>
  <si>
    <t>03762001013</t>
  </si>
  <si>
    <t>051986</t>
  </si>
  <si>
    <t>0084446</t>
  </si>
  <si>
    <t>03771601002</t>
  </si>
  <si>
    <t>LIBERADO SEM USINAR COM TOLERÂNCIA DE CORTE</t>
  </si>
  <si>
    <t>051983</t>
  </si>
  <si>
    <t>0084445</t>
  </si>
  <si>
    <t>03771501001</t>
  </si>
  <si>
    <t>051984</t>
  </si>
  <si>
    <t>03771601001</t>
  </si>
  <si>
    <t>RANDON</t>
  </si>
  <si>
    <t>03767501001</t>
  </si>
  <si>
    <t>ALEXANDRE MONTOU CASTANHA E FEZ LAUDO</t>
  </si>
  <si>
    <t>INDUCTOHERM</t>
  </si>
  <si>
    <t>03756401001</t>
  </si>
  <si>
    <t>052046</t>
  </si>
  <si>
    <t>VANTEC</t>
  </si>
  <si>
    <t>0084643</t>
  </si>
  <si>
    <t>03762501001</t>
  </si>
  <si>
    <t>JOSÉ MONTOU CASTANHA E DIMENSIONAL DESEMPENO WILLIAN</t>
  </si>
  <si>
    <t>11/11/2024</t>
  </si>
  <si>
    <t>045800</t>
  </si>
  <si>
    <t>EATON</t>
  </si>
  <si>
    <t>0084721</t>
  </si>
  <si>
    <t>03763801001</t>
  </si>
  <si>
    <t>050579</t>
  </si>
  <si>
    <t>MULTI PACK</t>
  </si>
  <si>
    <t>0083755</t>
  </si>
  <si>
    <t>03752401001</t>
  </si>
  <si>
    <t>DIMENSIONAL E MONTAGEM CASTANHA - ALEXANDRE</t>
  </si>
  <si>
    <t>049523</t>
  </si>
  <si>
    <t>03752401002</t>
  </si>
  <si>
    <t>052191</t>
  </si>
  <si>
    <t xml:space="preserve">HENRIQUE CESAR </t>
  </si>
  <si>
    <t>0084735</t>
  </si>
  <si>
    <t>03764801005</t>
  </si>
  <si>
    <t>12/11/2024</t>
  </si>
  <si>
    <t>052092</t>
  </si>
  <si>
    <t>FACCHINI S/A</t>
  </si>
  <si>
    <t>0084872</t>
  </si>
  <si>
    <t>03776201001</t>
  </si>
  <si>
    <t>DIMENSIONAL - ALEXANDRE MONTAGEM - JOSE obs confirmar se e fuso adaptado</t>
  </si>
  <si>
    <t>050050</t>
  </si>
  <si>
    <t>NEWTON</t>
  </si>
  <si>
    <t>0084694</t>
  </si>
  <si>
    <t>03762101004</t>
  </si>
  <si>
    <t>DIMENSIONAL E MONTAGEM - JOSE</t>
  </si>
  <si>
    <t>051328</t>
  </si>
  <si>
    <t>DOCOL</t>
  </si>
  <si>
    <t>0084882</t>
  </si>
  <si>
    <t>03777601001</t>
  </si>
  <si>
    <t>052037</t>
  </si>
  <si>
    <t>DANA</t>
  </si>
  <si>
    <t>0084484</t>
  </si>
  <si>
    <t>03753601001</t>
  </si>
  <si>
    <t>DESEMPENO CONFERIDO POR JOSÉ E WILLIAN  DIMENSIONAL ALEXANDRE</t>
  </si>
  <si>
    <t>0084483</t>
  </si>
  <si>
    <t>03752801001</t>
  </si>
  <si>
    <t>052256</t>
  </si>
  <si>
    <t>ROSCA M35X1,5 AMASSADA E CAVACO NA ROSCA INTERNA M6X1,0</t>
  </si>
  <si>
    <t>051958</t>
  </si>
  <si>
    <t>03752801002</t>
  </si>
  <si>
    <t>03753601002</t>
  </si>
  <si>
    <t>13/11/2024</t>
  </si>
  <si>
    <t>035693</t>
  </si>
  <si>
    <t>03762101006</t>
  </si>
  <si>
    <t>INSPEÇÃO DIMENSIONAL ALEXANDRE/ MONTAGEM DE CASTANHA E PRÉ CARGA ALEXANDRE</t>
  </si>
  <si>
    <t>051843</t>
  </si>
  <si>
    <t>LINEARTEC</t>
  </si>
  <si>
    <t>0084230</t>
  </si>
  <si>
    <t>03780401001</t>
  </si>
  <si>
    <t>FUSO COM PONTOS DE CRATERIZAÇÃO LIBERADO PELO SR. PEDRO</t>
  </si>
  <si>
    <t>SBA</t>
  </si>
  <si>
    <t>0084837</t>
  </si>
  <si>
    <t>03773601001</t>
  </si>
  <si>
    <t>052253</t>
  </si>
  <si>
    <t>AAM</t>
  </si>
  <si>
    <t>0084852</t>
  </si>
  <si>
    <t>03774601001</t>
  </si>
  <si>
    <t>18/11/2024</t>
  </si>
  <si>
    <t>038983</t>
  </si>
  <si>
    <t>0084941</t>
  </si>
  <si>
    <t>03779201001</t>
  </si>
  <si>
    <t>DESEMPENO E DIMENSIONAL DIAMETRO WILLIA/ COMPRIMENTO E MONTAGEM DE CASTANHA JOSE</t>
  </si>
  <si>
    <t>052291</t>
  </si>
  <si>
    <t>03779201004</t>
  </si>
  <si>
    <t>DESEMPENO E OMTAGEM DE CASTANHA JOSE  /  DIMENSIONAL ALEXANDRE</t>
  </si>
  <si>
    <t>052217</t>
  </si>
  <si>
    <t>HITACHI</t>
  </si>
  <si>
    <t>0082111</t>
  </si>
  <si>
    <t>03766301001</t>
  </si>
  <si>
    <t>A PEÇA TEM EMAIL LIBERANDO A BUCHA QUE ERA 12mm DE COMPRIMENTO PARA 14,5mm DE COMPRIMENTO</t>
  </si>
  <si>
    <t>043027</t>
  </si>
  <si>
    <t>EATON LTDA</t>
  </si>
  <si>
    <t>0084725</t>
  </si>
  <si>
    <t>03765401001</t>
  </si>
  <si>
    <t>DESENHO NÃO CONSTAVA USINAGEM DA CASTANHA BIFACETADA - CHAVETA MAIOR DP ESTAVA 2,5mm CORRETO É 3mm</t>
  </si>
  <si>
    <t>051829</t>
  </si>
  <si>
    <t>KOLBENSCHMIDT</t>
  </si>
  <si>
    <t>0084908</t>
  </si>
  <si>
    <t>03779601001</t>
  </si>
  <si>
    <t>WILLIAN/JOSÉ</t>
  </si>
  <si>
    <t>DESEMPENO E DIAMETROS WILLIAN COMPRIMENTOS E CASTANHA JOSÉ</t>
  </si>
  <si>
    <t>041142</t>
  </si>
  <si>
    <t>OPTIMA</t>
  </si>
  <si>
    <t>0084917</t>
  </si>
  <si>
    <t>03778701001</t>
  </si>
  <si>
    <t>MONTAGEM E DIMENSIONAL</t>
  </si>
  <si>
    <t>043190</t>
  </si>
  <si>
    <t>03778701002</t>
  </si>
  <si>
    <t>052286</t>
  </si>
  <si>
    <t>PNEUMATICA</t>
  </si>
  <si>
    <t>0084920</t>
  </si>
  <si>
    <t>03778801001</t>
  </si>
  <si>
    <t xml:space="preserve">JOSE - PARALELO FORA DE ESQUADRO 0.05 -  ALEXANDRE - SEGUNDA CONFERENCIA </t>
  </si>
  <si>
    <t>044052</t>
  </si>
  <si>
    <t>GERALDISCOS</t>
  </si>
  <si>
    <t>0084943</t>
  </si>
  <si>
    <t>03779701002</t>
  </si>
  <si>
    <t>DIMENCIONAL E MONTAGEM</t>
  </si>
  <si>
    <t>052302</t>
  </si>
  <si>
    <t>03779701001</t>
  </si>
  <si>
    <t>19/11/2024</t>
  </si>
  <si>
    <t>VANTEC 1285mm</t>
  </si>
  <si>
    <t>VANTEC 720mm</t>
  </si>
  <si>
    <t>VANTEC 940mm</t>
  </si>
  <si>
    <t>peça fora da tolerancia 3 décimos no comprimento mas foi liberada</t>
  </si>
  <si>
    <t>051168</t>
  </si>
  <si>
    <t xml:space="preserve">SCHULZ </t>
  </si>
  <si>
    <t>0083347</t>
  </si>
  <si>
    <t>03628401009</t>
  </si>
  <si>
    <t>043621</t>
  </si>
  <si>
    <t>NIDEC</t>
  </si>
  <si>
    <t>0083053</t>
  </si>
  <si>
    <t>03776801001</t>
  </si>
  <si>
    <t>JOSÉ/ALEXANDRE</t>
  </si>
  <si>
    <t>JOSÉ DESEMPENOU ALEXANDRE DIMENSIONOU</t>
  </si>
  <si>
    <t>21/11/2024</t>
  </si>
  <si>
    <t xml:space="preserve"> 052314</t>
  </si>
  <si>
    <t>03781901001</t>
  </si>
  <si>
    <t>MONTAGEM E DIMENSIONAL ALEXANDRE</t>
  </si>
  <si>
    <t>052029</t>
  </si>
  <si>
    <t xml:space="preserve">ENGINEERING </t>
  </si>
  <si>
    <t>0084538</t>
  </si>
  <si>
    <t>03759301002</t>
  </si>
  <si>
    <t>052030</t>
  </si>
  <si>
    <t>03759301003</t>
  </si>
  <si>
    <t>DIMENSIONAL JOSE - RELOGIO ALEXANDRE</t>
  </si>
  <si>
    <t>035896</t>
  </si>
  <si>
    <t>0084751</t>
  </si>
  <si>
    <t>03766801001</t>
  </si>
  <si>
    <t>052028</t>
  </si>
  <si>
    <t>03759301001</t>
  </si>
  <si>
    <t>ALE/JOSE</t>
  </si>
  <si>
    <t>052084</t>
  </si>
  <si>
    <t>LINCOLN</t>
  </si>
  <si>
    <t>0084682</t>
  </si>
  <si>
    <t>03767101001</t>
  </si>
  <si>
    <t>DESEMPENO JOSÉ DIMENSIONAL WILLIAN</t>
  </si>
  <si>
    <t>DESEMPENO CONFERIDO    JOSÉ</t>
  </si>
  <si>
    <t>050695</t>
  </si>
  <si>
    <t>0084717</t>
  </si>
  <si>
    <t>03763601003</t>
  </si>
  <si>
    <t>CASTANHA 7 DECIMOS MENOR NO COMPRIMENTO ENVIAR LAUDO</t>
  </si>
  <si>
    <t>DESEMPENO CONFERIDO JOSÉ</t>
  </si>
  <si>
    <t xml:space="preserve">UMA DAS COTAS E 3 DÉCIMOS MENOR </t>
  </si>
  <si>
    <t>22/11/2024</t>
  </si>
  <si>
    <t>049169</t>
  </si>
  <si>
    <t>FIAT</t>
  </si>
  <si>
    <t>0084789</t>
  </si>
  <si>
    <t>03771101001</t>
  </si>
  <si>
    <t>052227</t>
  </si>
  <si>
    <t>MERCEDES</t>
  </si>
  <si>
    <t>0084902</t>
  </si>
  <si>
    <t>03783301002</t>
  </si>
  <si>
    <t>052226</t>
  </si>
  <si>
    <t>03783301001</t>
  </si>
  <si>
    <t>DIMENSIONAL ALE - MONTAGEM JOSE</t>
  </si>
  <si>
    <t>052228</t>
  </si>
  <si>
    <t>03783301003</t>
  </si>
  <si>
    <t>052229</t>
  </si>
  <si>
    <t>03783301004</t>
  </si>
  <si>
    <t>041097</t>
  </si>
  <si>
    <t>0085033</t>
  </si>
  <si>
    <t>03786801001</t>
  </si>
  <si>
    <t>DESEMPENO CONFERIDO E DIAMETRO POR JOSE PAQ ALEXANDRE</t>
  </si>
  <si>
    <t>041098</t>
  </si>
  <si>
    <t>03786801002</t>
  </si>
  <si>
    <t>DESEMPENO CONFERIDO E DIAMETRO JOSÉ</t>
  </si>
  <si>
    <t>25/11/2024</t>
  </si>
  <si>
    <t>047425</t>
  </si>
  <si>
    <t>FACCHINI</t>
  </si>
  <si>
    <t>0082093</t>
  </si>
  <si>
    <t>03542401002</t>
  </si>
  <si>
    <t>DIMENSIONAL e MONTAGEM ALE - VALIDAÇÃO JOSE</t>
  </si>
  <si>
    <t>03542401015</t>
  </si>
  <si>
    <t>0083824</t>
  </si>
  <si>
    <t>03767701002</t>
  </si>
  <si>
    <t xml:space="preserve">DIMENSIONAL e MONTAGEM ALE </t>
  </si>
  <si>
    <t>051660</t>
  </si>
  <si>
    <t>ROBERT BOSCH</t>
  </si>
  <si>
    <t>0084796</t>
  </si>
  <si>
    <t>03789201001</t>
  </si>
  <si>
    <t>052238</t>
  </si>
  <si>
    <t>AUMAQRS</t>
  </si>
  <si>
    <t>0085040</t>
  </si>
  <si>
    <t>03786501001</t>
  </si>
  <si>
    <t>049511</t>
  </si>
  <si>
    <t>SMI</t>
  </si>
  <si>
    <t>0084692</t>
  </si>
  <si>
    <t>03795101002</t>
  </si>
  <si>
    <t>DIMENSIONAL ALE - MONTAGEM JOSE - VALIDAÇÃO JOSE</t>
  </si>
  <si>
    <t>052175</t>
  </si>
  <si>
    <t>03795101001</t>
  </si>
  <si>
    <t>052466</t>
  </si>
  <si>
    <t>2D</t>
  </si>
  <si>
    <t>0085167</t>
  </si>
  <si>
    <t>03799101003</t>
  </si>
  <si>
    <t>03799101004</t>
  </si>
  <si>
    <t>03755201004</t>
  </si>
  <si>
    <t>26/11/2024</t>
  </si>
  <si>
    <t>052294</t>
  </si>
  <si>
    <t>LEMARB</t>
  </si>
  <si>
    <t>0085065</t>
  </si>
  <si>
    <t>03789301002</t>
  </si>
  <si>
    <t>050539</t>
  </si>
  <si>
    <t>STELLANTIS</t>
  </si>
  <si>
    <t>0082009</t>
  </si>
  <si>
    <t>03795201001</t>
  </si>
  <si>
    <t>052008</t>
  </si>
  <si>
    <t>TOYOTA</t>
  </si>
  <si>
    <t>0084440</t>
  </si>
  <si>
    <t>03803601001</t>
  </si>
  <si>
    <t>VALIDADO POR JOSÉ</t>
  </si>
  <si>
    <t>27/11/2024</t>
  </si>
  <si>
    <t>052265</t>
  </si>
  <si>
    <t xml:space="preserve">IBRATECH </t>
  </si>
  <si>
    <t>0084984</t>
  </si>
  <si>
    <t>03785701001</t>
  </si>
  <si>
    <t>ALEXANDRE/JOSE</t>
  </si>
  <si>
    <t>DIMENDIONAL ALEXANDE DESEMPENO JOSÉ</t>
  </si>
  <si>
    <t>048998</t>
  </si>
  <si>
    <t>VILLARES</t>
  </si>
  <si>
    <t>0081647</t>
  </si>
  <si>
    <t>03787101001</t>
  </si>
  <si>
    <t>FUSO COM PARALELO DE 1 CENTÉSIMO MAIOR LIBERADO POR ANDRÉ USANDO A MARGEM DE ERRO DE MEDIÇÃO DO MICROMETRO CENTESIMAL. MONTAGEM DE CASTANHA NILSON</t>
  </si>
  <si>
    <t>0083825</t>
  </si>
  <si>
    <t>03768401002</t>
  </si>
  <si>
    <t xml:space="preserve">DESEMPENO CONFERIDO POR JOSÉ    </t>
  </si>
  <si>
    <t>03767701001</t>
  </si>
  <si>
    <t>DESEMPENO CONFERIDO POR JOSÉ</t>
  </si>
  <si>
    <t>03768401001</t>
  </si>
  <si>
    <t>052464</t>
  </si>
  <si>
    <t>AUMAQRS LTDA - ME</t>
  </si>
  <si>
    <t>0085191</t>
  </si>
  <si>
    <t>03805401001</t>
  </si>
  <si>
    <t>28/11/2024</t>
  </si>
  <si>
    <t>048091</t>
  </si>
  <si>
    <t>HELLER</t>
  </si>
  <si>
    <t>0084456</t>
  </si>
  <si>
    <t>03785301001</t>
  </si>
  <si>
    <t>DIMENSIONAL e MONTAGEM ALE - VALIDAÇÃO WILLIAN</t>
  </si>
  <si>
    <t>050455</t>
  </si>
  <si>
    <t>0082080</t>
  </si>
  <si>
    <t>03804501001</t>
  </si>
  <si>
    <t>DIMENSIONAL JOSÉ</t>
  </si>
  <si>
    <t>052041</t>
  </si>
  <si>
    <t>03785301002</t>
  </si>
  <si>
    <t>052496</t>
  </si>
  <si>
    <t xml:space="preserve">SCHNELL </t>
  </si>
  <si>
    <t>0085213</t>
  </si>
  <si>
    <t>03807001002</t>
  </si>
  <si>
    <t>WILIAN</t>
  </si>
  <si>
    <t>ESQUADRO - JOSE</t>
  </si>
  <si>
    <t>052497</t>
  </si>
  <si>
    <t>03807001001</t>
  </si>
  <si>
    <t>29/11/2024</t>
  </si>
  <si>
    <t>052493</t>
  </si>
  <si>
    <t>0085286</t>
  </si>
  <si>
    <t>03813801001</t>
  </si>
  <si>
    <t>BIPADO 49</t>
  </si>
  <si>
    <t>051062</t>
  </si>
  <si>
    <t>CCS</t>
  </si>
  <si>
    <t>0080031</t>
  </si>
  <si>
    <t>03358901004</t>
  </si>
  <si>
    <t>ALE/JADSON</t>
  </si>
  <si>
    <t xml:space="preserve">ALE e JADSON </t>
  </si>
  <si>
    <t>045732</t>
  </si>
  <si>
    <t>MENDES</t>
  </si>
  <si>
    <t>0084065</t>
  </si>
  <si>
    <t>0085206</t>
  </si>
  <si>
    <t>052447</t>
  </si>
  <si>
    <t>SCANIA</t>
  </si>
  <si>
    <t>0085217</t>
  </si>
  <si>
    <t>03807901001</t>
  </si>
  <si>
    <t>039533</t>
  </si>
  <si>
    <t>MAHLE</t>
  </si>
  <si>
    <t>0085103</t>
  </si>
  <si>
    <t>03806501001</t>
  </si>
  <si>
    <t>052233</t>
  </si>
  <si>
    <t>BARRFAB</t>
  </si>
  <si>
    <t>0085190</t>
  </si>
  <si>
    <t>03804401002</t>
  </si>
  <si>
    <t>052295</t>
  </si>
  <si>
    <t>D.G.E</t>
  </si>
  <si>
    <t>0085071</t>
  </si>
  <si>
    <t>03801701002</t>
  </si>
  <si>
    <t>JADSON</t>
  </si>
  <si>
    <t>052334</t>
  </si>
  <si>
    <t>0085136</t>
  </si>
  <si>
    <t>03805901001</t>
  </si>
  <si>
    <t>FORÇA TAREFA</t>
  </si>
  <si>
    <t>051198</t>
  </si>
  <si>
    <t>03805901002</t>
  </si>
  <si>
    <t>CONFIGURAÇÃO DA PROGRAMAÇÃO</t>
  </si>
  <si>
    <t>PERCENTUAIS</t>
  </si>
  <si>
    <t>TOTAL DE PEÇAS PRODUZIDAS NO MÊS</t>
  </si>
  <si>
    <t>PEÇAS REPROVADAS</t>
  </si>
  <si>
    <t>PEÇAS APROVADAS</t>
  </si>
  <si>
    <t>PEÇAS MORTAS</t>
  </si>
  <si>
    <t>PEÇAS RETRABALHO</t>
  </si>
  <si>
    <t>PEÇA APROV. DIR. + RETRAB.</t>
  </si>
  <si>
    <t>APROVAÇÃO DIRETA</t>
  </si>
  <si>
    <t>RETRABALHO</t>
  </si>
  <si>
    <t>MORTAS</t>
  </si>
  <si>
    <t>APROVAÇÃO DIRETA + RETRABALHO</t>
  </si>
  <si>
    <t>CONTROLE DE REFUGOS</t>
  </si>
  <si>
    <t>Descrição</t>
  </si>
  <si>
    <t>Maquina</t>
  </si>
  <si>
    <t>Fuso</t>
  </si>
  <si>
    <t>Castanha</t>
  </si>
  <si>
    <t>QTD. DA OP.</t>
  </si>
  <si>
    <t>QTD. PEÇAS CHEGOU</t>
  </si>
  <si>
    <t>QNT. REPROVADO</t>
  </si>
  <si>
    <t>QNT. RETRABALHADO</t>
  </si>
  <si>
    <t>QNT. USINADO NOVAMENTE</t>
  </si>
  <si>
    <t>APROVADO</t>
  </si>
  <si>
    <t>Gerar op - instrução para corte errado</t>
  </si>
  <si>
    <t>Medida não conforme o projeto</t>
  </si>
  <si>
    <t>Usinagem não conforme o projeto</t>
  </si>
  <si>
    <t>Acabamento Ruim</t>
  </si>
  <si>
    <t>Peça fora de concentricidade</t>
  </si>
  <si>
    <t>Peça craterizada</t>
  </si>
  <si>
    <t>Estética (aparência)</t>
  </si>
  <si>
    <t>Rebarba</t>
  </si>
  <si>
    <t>Faltou usinar a chaveta</t>
  </si>
  <si>
    <t>Desenho Errado</t>
  </si>
  <si>
    <t>TORNO 2</t>
  </si>
  <si>
    <t>X</t>
  </si>
  <si>
    <t>CORTE</t>
  </si>
  <si>
    <t>CORTE ERRADO DEVIDO A TRAÇAGEM DE COTA "E" ERRADA</t>
  </si>
  <si>
    <t>CNC</t>
  </si>
  <si>
    <t>FRESA 2</t>
  </si>
  <si>
    <t>TORNO 1</t>
  </si>
  <si>
    <t xml:space="preserve">ACABAMENTO DA BUCHA COM CORPO DE 14,5mm DE COMPRIMENTO ESTAVA COM ACABAMENTO VIBRADO </t>
  </si>
  <si>
    <t>OBS</t>
  </si>
  <si>
    <t xml:space="preserve">Data </t>
  </si>
  <si>
    <t>Responsavél pela observção</t>
  </si>
  <si>
    <t>Assunto</t>
  </si>
  <si>
    <t>LANÇAR PEDIDO 0084147 DA HITACHI? POIS NÃO FOI USINADO ERA SÓ VER O DEGRAU NA CASTANHA OP 03713301001</t>
  </si>
  <si>
    <t>PLANILHA PARA ATUALIZAR QUADRO DE INFORMAÇÕES</t>
  </si>
  <si>
    <t>PEÇAS PRODUZIDAS MÊS ATE A PRESENTE DATA</t>
  </si>
  <si>
    <t xml:space="preserve">APROVAÇÃO DIRETA </t>
  </si>
  <si>
    <t>USINAGEM</t>
  </si>
  <si>
    <t>PERCENTUAL %</t>
  </si>
  <si>
    <t xml:space="preserve">PEÇAS RETRABALHADAS </t>
  </si>
  <si>
    <t>OUTROS</t>
  </si>
  <si>
    <t>CALCULO DIVISÃO DE NÃO CONFORMIDADE</t>
  </si>
  <si>
    <t>usin morta</t>
  </si>
  <si>
    <t>outros morta</t>
  </si>
  <si>
    <t>retrabalho usin</t>
  </si>
  <si>
    <t>retrabalho outros</t>
  </si>
  <si>
    <t>PEÇA MORTA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</si>
</sst>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%"/>
    <numFmt numFmtId="166" formatCode="0.000000%"/>
  </numFmts>
  <fonts count="5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2"/>
      <color theme="5" tint="-0.249977111117893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6"/>
      <color rgb="FF00B05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theme="5"/>
      <name val="Aptos Narrow"/>
      <family val="2"/>
      <scheme val="minor"/>
    </font>
    <font>
      <b/>
      <sz val="14"/>
      <color theme="8"/>
      <name val="Aptos Narrow"/>
      <family val="2"/>
      <scheme val="minor"/>
    </font>
    <font>
      <b/>
      <sz val="24"/>
      <color theme="1"/>
      <name val="Arial Black"/>
      <family val="2"/>
    </font>
    <font>
      <b/>
      <sz val="11"/>
      <color theme="1" tint="0.14999847407452621"/>
      <name val="Aptos Narrow"/>
      <family val="2"/>
      <scheme val="minor"/>
    </font>
    <font>
      <b/>
      <sz val="28"/>
      <color theme="0"/>
      <name val="Arial Black"/>
      <family val="2"/>
    </font>
    <font>
      <b/>
      <sz val="12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2"/>
      <color theme="5" tint="-0.499984740745262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scheme val="minor"/>
    </font>
    <font>
      <b/>
      <sz val="10"/>
      <color rgb="FF000000"/>
      <name val="Tahoma"/>
      <family val="2"/>
    </font>
    <font>
      <b/>
      <sz val="12"/>
      <color theme="1"/>
      <name val="Aptos Narrow"/>
      <scheme val="minor"/>
    </font>
    <font>
      <sz val="10"/>
      <color theme="1"/>
      <name val="Aptos Narrow"/>
      <scheme val="minor"/>
    </font>
    <font>
      <sz val="10"/>
      <color rgb="FF00B050"/>
      <name val="Aptos Narrow"/>
      <scheme val="minor"/>
    </font>
    <font>
      <sz val="10"/>
      <color rgb="FFFF0000"/>
      <name val="Aptos Narrow"/>
      <scheme val="minor"/>
    </font>
    <font>
      <sz val="10"/>
      <color theme="5" tint="-0.249977111117893"/>
      <name val="Aptos Narrow"/>
      <scheme val="minor"/>
    </font>
    <font>
      <sz val="10"/>
      <color rgb="FF0070C0"/>
      <name val="Aptos Narrow"/>
      <scheme val="minor"/>
    </font>
    <font>
      <sz val="10"/>
      <color theme="5" tint="-0.499984740745262"/>
      <name val="Aptos Narrow"/>
      <scheme val="minor"/>
    </font>
    <font>
      <b/>
      <sz val="28"/>
      <color rgb="FFFF0000"/>
      <name val="Arial Black"/>
      <family val="2"/>
    </font>
  </fonts>
  <fills count="2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8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2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9" fillId="18" borderId="0" applyNumberFormat="0" applyBorder="0" applyAlignment="0" applyProtection="0"/>
    <xf numFmtId="0" fontId="40" fillId="19" borderId="0" applyNumberFormat="0" applyBorder="0" applyAlignment="0" applyProtection="0"/>
  </cellStyleXfs>
  <cellXfs count="255">
    <xf numFmtId="0" fontId="0" fillId="0" borderId="0" xfId="0"/>
    <xf numFmtId="0" fontId="16" fillId="0" borderId="0" xfId="0" applyFont="1"/>
    <xf numFmtId="0" fontId="18" fillId="2" borderId="0" xfId="0" applyFont="1" applyFill="1"/>
    <xf numFmtId="0" fontId="19" fillId="3" borderId="0" xfId="0" applyFont="1" applyFill="1"/>
    <xf numFmtId="0" fontId="12" fillId="4" borderId="0" xfId="0" applyFont="1" applyFill="1"/>
    <xf numFmtId="0" fontId="17" fillId="0" borderId="0" xfId="0" applyFont="1"/>
    <xf numFmtId="0" fontId="21" fillId="0" borderId="0" xfId="0" applyFont="1"/>
    <xf numFmtId="0" fontId="0" fillId="6" borderId="0" xfId="0" applyFill="1"/>
    <xf numFmtId="0" fontId="3" fillId="6" borderId="0" xfId="0" applyFont="1" applyFill="1"/>
    <xf numFmtId="0" fontId="0" fillId="0" borderId="1" xfId="0" applyBorder="1"/>
    <xf numFmtId="0" fontId="23" fillId="5" borderId="1" xfId="0" applyFont="1" applyFill="1" applyBorder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0" fillId="8" borderId="0" xfId="0" applyFill="1"/>
    <xf numFmtId="0" fontId="0" fillId="9" borderId="0" xfId="0" applyFill="1"/>
    <xf numFmtId="0" fontId="0" fillId="0" borderId="6" xfId="0" applyBorder="1"/>
    <xf numFmtId="10" fontId="0" fillId="0" borderId="5" xfId="0" applyNumberFormat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7" fillId="13" borderId="13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64" fontId="27" fillId="13" borderId="15" xfId="0" applyNumberFormat="1" applyFont="1" applyFill="1" applyBorder="1" applyAlignment="1">
      <alignment horizontal="center" vertical="center"/>
    </xf>
    <xf numFmtId="165" fontId="27" fillId="13" borderId="16" xfId="0" applyNumberFormat="1" applyFont="1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/>
    </xf>
    <xf numFmtId="0" fontId="27" fillId="14" borderId="13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164" fontId="0" fillId="0" borderId="5" xfId="0" applyNumberFormat="1" applyBorder="1"/>
    <xf numFmtId="0" fontId="0" fillId="16" borderId="0" xfId="0" applyFill="1"/>
    <xf numFmtId="0" fontId="0" fillId="16" borderId="24" xfId="0" applyFill="1" applyBorder="1"/>
    <xf numFmtId="0" fontId="0" fillId="16" borderId="23" xfId="0" applyFill="1" applyBorder="1"/>
    <xf numFmtId="0" fontId="0" fillId="16" borderId="4" xfId="0" applyFill="1" applyBorder="1"/>
    <xf numFmtId="0" fontId="0" fillId="16" borderId="25" xfId="0" applyFill="1" applyBorder="1"/>
    <xf numFmtId="0" fontId="0" fillId="16" borderId="5" xfId="0" applyFill="1" applyBorder="1"/>
    <xf numFmtId="0" fontId="0" fillId="16" borderId="26" xfId="0" applyFill="1" applyBorder="1"/>
    <xf numFmtId="0" fontId="0" fillId="16" borderId="6" xfId="0" applyFill="1" applyBorder="1"/>
    <xf numFmtId="0" fontId="0" fillId="15" borderId="3" xfId="0" applyFill="1" applyBorder="1"/>
    <xf numFmtId="0" fontId="0" fillId="15" borderId="23" xfId="0" applyFill="1" applyBorder="1"/>
    <xf numFmtId="0" fontId="0" fillId="15" borderId="4" xfId="0" applyFill="1" applyBorder="1"/>
    <xf numFmtId="0" fontId="2" fillId="0" borderId="1" xfId="0" applyFont="1" applyBorder="1" applyAlignment="1">
      <alignment horizontal="center" vertical="center"/>
    </xf>
    <xf numFmtId="0" fontId="0" fillId="9" borderId="3" xfId="0" applyFill="1" applyBorder="1"/>
    <xf numFmtId="0" fontId="0" fillId="9" borderId="23" xfId="0" applyFill="1" applyBorder="1"/>
    <xf numFmtId="0" fontId="0" fillId="9" borderId="24" xfId="0" applyFill="1" applyBorder="1"/>
    <xf numFmtId="0" fontId="3" fillId="9" borderId="24" xfId="0" applyFont="1" applyFill="1" applyBorder="1"/>
    <xf numFmtId="0" fontId="3" fillId="9" borderId="0" xfId="0" applyFont="1" applyFill="1"/>
    <xf numFmtId="0" fontId="2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4" fillId="0" borderId="0" xfId="0" applyFont="1"/>
    <xf numFmtId="0" fontId="35" fillId="0" borderId="0" xfId="0" applyFont="1"/>
    <xf numFmtId="0" fontId="36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center" vertical="center"/>
    </xf>
    <xf numFmtId="10" fontId="0" fillId="0" borderId="0" xfId="0" applyNumberFormat="1"/>
    <xf numFmtId="10" fontId="0" fillId="0" borderId="0" xfId="1" applyNumberFormat="1" applyFont="1"/>
    <xf numFmtId="10" fontId="27" fillId="14" borderId="16" xfId="0" applyNumberFormat="1" applyFont="1" applyFill="1" applyBorder="1" applyAlignment="1">
      <alignment horizontal="center" vertical="center"/>
    </xf>
    <xf numFmtId="10" fontId="27" fillId="14" borderId="15" xfId="0" applyNumberFormat="1" applyFont="1" applyFill="1" applyBorder="1" applyAlignment="1">
      <alignment horizontal="center" vertical="center"/>
    </xf>
    <xf numFmtId="0" fontId="0" fillId="17" borderId="1" xfId="0" applyFill="1" applyBorder="1"/>
    <xf numFmtId="0" fontId="33" fillId="0" borderId="1" xfId="2" applyBorder="1"/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42" fillId="17" borderId="1" xfId="0" applyFont="1" applyFill="1" applyBorder="1" applyAlignment="1">
      <alignment horizontal="center" vertical="center"/>
    </xf>
    <xf numFmtId="0" fontId="43" fillId="17" borderId="1" xfId="0" applyFont="1" applyFill="1" applyBorder="1" applyAlignment="1">
      <alignment horizontal="center" vertical="center"/>
    </xf>
    <xf numFmtId="0" fontId="44" fillId="17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0" fontId="46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top"/>
    </xf>
    <xf numFmtId="0" fontId="0" fillId="17" borderId="1" xfId="0" applyFill="1" applyBorder="1" applyAlignment="1">
      <alignment horizontal="center" vertical="top"/>
    </xf>
    <xf numFmtId="0" fontId="41" fillId="17" borderId="1" xfId="0" applyFont="1" applyFill="1" applyBorder="1" applyAlignment="1">
      <alignment horizontal="center" vertical="center"/>
    </xf>
    <xf numFmtId="14" fontId="41" fillId="17" borderId="1" xfId="0" applyNumberFormat="1" applyFont="1" applyFill="1" applyBorder="1" applyAlignment="1">
      <alignment horizontal="center" vertical="center"/>
    </xf>
    <xf numFmtId="10" fontId="0" fillId="16" borderId="0" xfId="0" applyNumberFormat="1" applyFill="1"/>
    <xf numFmtId="0" fontId="4" fillId="17" borderId="1" xfId="0" applyFont="1" applyFill="1" applyBorder="1" applyAlignment="1">
      <alignment horizontal="center" vertical="center" wrapText="1"/>
    </xf>
    <xf numFmtId="49" fontId="41" fillId="17" borderId="1" xfId="0" applyNumberFormat="1" applyFont="1" applyFill="1" applyBorder="1" applyAlignment="1">
      <alignment horizontal="center" vertical="center"/>
    </xf>
    <xf numFmtId="49" fontId="4" fillId="17" borderId="1" xfId="0" applyNumberFormat="1" applyFont="1" applyFill="1" applyBorder="1" applyAlignment="1">
      <alignment horizontal="center" vertical="center"/>
    </xf>
    <xf numFmtId="49" fontId="41" fillId="17" borderId="1" xfId="3" applyNumberFormat="1" applyFont="1" applyFill="1" applyBorder="1" applyAlignment="1">
      <alignment horizontal="center" vertical="center"/>
    </xf>
    <xf numFmtId="49" fontId="41" fillId="17" borderId="1" xfId="4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47" fillId="17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5" fillId="0" borderId="1" xfId="0" applyFont="1" applyBorder="1"/>
    <xf numFmtId="0" fontId="35" fillId="0" borderId="1" xfId="0" applyFont="1" applyBorder="1" applyAlignment="1">
      <alignment horizontal="center"/>
    </xf>
    <xf numFmtId="49" fontId="41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49" fontId="47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1" fillId="20" borderId="1" xfId="0" applyFont="1" applyFill="1" applyBorder="1" applyAlignment="1">
      <alignment horizontal="center" vertical="center"/>
    </xf>
    <xf numFmtId="49" fontId="41" fillId="20" borderId="1" xfId="0" applyNumberFormat="1" applyFont="1" applyFill="1" applyBorder="1" applyAlignment="1">
      <alignment horizontal="center" vertical="center"/>
    </xf>
    <xf numFmtId="49" fontId="47" fillId="20" borderId="1" xfId="0" applyNumberFormat="1" applyFont="1" applyFill="1" applyBorder="1" applyAlignment="1">
      <alignment horizontal="center" vertical="center"/>
    </xf>
    <xf numFmtId="49" fontId="48" fillId="17" borderId="1" xfId="0" applyNumberFormat="1" applyFont="1" applyFill="1" applyBorder="1" applyAlignment="1">
      <alignment horizontal="center" vertical="center"/>
    </xf>
    <xf numFmtId="49" fontId="4" fillId="17" borderId="1" xfId="0" applyNumberFormat="1" applyFont="1" applyFill="1" applyBorder="1" applyAlignment="1">
      <alignment horizontal="center" vertical="center" wrapText="1"/>
    </xf>
    <xf numFmtId="0" fontId="34" fillId="0" borderId="1" xfId="0" applyFont="1" applyBorder="1"/>
    <xf numFmtId="49" fontId="2" fillId="0" borderId="1" xfId="0" applyNumberFormat="1" applyFont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/>
    </xf>
    <xf numFmtId="1" fontId="50" fillId="17" borderId="1" xfId="0" applyNumberFormat="1" applyFont="1" applyFill="1" applyBorder="1" applyAlignment="1">
      <alignment horizontal="center" vertical="center" wrapText="1"/>
    </xf>
    <xf numFmtId="2" fontId="41" fillId="17" borderId="1" xfId="0" applyNumberFormat="1" applyFont="1" applyFill="1" applyBorder="1" applyAlignment="1">
      <alignment horizontal="center" vertical="center"/>
    </xf>
    <xf numFmtId="2" fontId="0" fillId="17" borderId="1" xfId="0" applyNumberFormat="1" applyFill="1" applyBorder="1"/>
    <xf numFmtId="2" fontId="41" fillId="17" borderId="1" xfId="0" applyNumberFormat="1" applyFont="1" applyFill="1" applyBorder="1"/>
    <xf numFmtId="1" fontId="41" fillId="17" borderId="1" xfId="0" applyNumberFormat="1" applyFont="1" applyFill="1" applyBorder="1" applyAlignment="1">
      <alignment horizontal="center" vertical="center"/>
    </xf>
    <xf numFmtId="1" fontId="2" fillId="17" borderId="1" xfId="0" applyNumberFormat="1" applyFont="1" applyFill="1" applyBorder="1" applyAlignment="1">
      <alignment horizontal="center" vertical="center"/>
    </xf>
    <xf numFmtId="1" fontId="42" fillId="17" borderId="1" xfId="0" applyNumberFormat="1" applyFont="1" applyFill="1" applyBorder="1" applyAlignment="1">
      <alignment horizontal="center" vertical="center"/>
    </xf>
    <xf numFmtId="1" fontId="43" fillId="17" borderId="1" xfId="0" applyNumberFormat="1" applyFont="1" applyFill="1" applyBorder="1" applyAlignment="1">
      <alignment horizontal="center" vertical="center"/>
    </xf>
    <xf numFmtId="1" fontId="44" fillId="17" borderId="1" xfId="0" applyNumberFormat="1" applyFont="1" applyFill="1" applyBorder="1" applyAlignment="1">
      <alignment horizontal="center" vertical="center"/>
    </xf>
    <xf numFmtId="1" fontId="45" fillId="17" borderId="1" xfId="0" applyNumberFormat="1" applyFont="1" applyFill="1" applyBorder="1" applyAlignment="1">
      <alignment horizontal="center" vertical="center"/>
    </xf>
    <xf numFmtId="1" fontId="46" fillId="17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 vertical="center"/>
    </xf>
    <xf numFmtId="0" fontId="51" fillId="17" borderId="1" xfId="0" applyFont="1" applyFill="1" applyBorder="1" applyAlignment="1">
      <alignment horizontal="center" vertical="center"/>
    </xf>
    <xf numFmtId="49" fontId="51" fillId="17" borderId="1" xfId="0" applyNumberFormat="1" applyFont="1" applyFill="1" applyBorder="1" applyAlignment="1">
      <alignment horizontal="center" vertical="center"/>
    </xf>
    <xf numFmtId="1" fontId="51" fillId="17" borderId="1" xfId="0" applyNumberFormat="1" applyFont="1" applyFill="1" applyBorder="1" applyAlignment="1">
      <alignment horizontal="center" vertical="center" wrapText="1"/>
    </xf>
    <xf numFmtId="49" fontId="51" fillId="17" borderId="1" xfId="0" applyNumberFormat="1" applyFont="1" applyFill="1" applyBorder="1" applyAlignment="1">
      <alignment horizontal="center" vertical="center" wrapText="1"/>
    </xf>
    <xf numFmtId="0" fontId="51" fillId="17" borderId="1" xfId="0" applyFont="1" applyFill="1" applyBorder="1" applyAlignment="1">
      <alignment horizontal="center" vertical="center" wrapText="1"/>
    </xf>
    <xf numFmtId="0" fontId="52" fillId="17" borderId="1" xfId="0" applyFont="1" applyFill="1" applyBorder="1" applyAlignment="1">
      <alignment horizontal="center" vertical="center"/>
    </xf>
    <xf numFmtId="0" fontId="51" fillId="17" borderId="1" xfId="0" applyFont="1" applyFill="1" applyBorder="1" applyAlignment="1">
      <alignment horizontal="center" vertical="top"/>
    </xf>
    <xf numFmtId="14" fontId="0" fillId="17" borderId="1" xfId="0" applyNumberFormat="1" applyFill="1" applyBorder="1" applyAlignment="1">
      <alignment horizontal="center" vertical="center"/>
    </xf>
    <xf numFmtId="49" fontId="0" fillId="17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17" borderId="1" xfId="0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/>
    </xf>
    <xf numFmtId="0" fontId="37" fillId="17" borderId="1" xfId="0" applyFont="1" applyFill="1" applyBorder="1" applyAlignment="1">
      <alignment horizontal="center" vertical="center"/>
    </xf>
    <xf numFmtId="49" fontId="49" fillId="21" borderId="29" xfId="0" applyNumberFormat="1" applyFont="1" applyFill="1" applyBorder="1" applyAlignment="1">
      <alignment horizontal="center" vertical="center" wrapText="1"/>
    </xf>
    <xf numFmtId="0" fontId="53" fillId="17" borderId="1" xfId="0" applyFont="1" applyFill="1" applyBorder="1" applyAlignment="1">
      <alignment horizontal="center" vertical="center"/>
    </xf>
    <xf numFmtId="0" fontId="54" fillId="17" borderId="1" xfId="0" applyFont="1" applyFill="1" applyBorder="1" applyAlignment="1">
      <alignment horizontal="center" vertical="center"/>
    </xf>
    <xf numFmtId="0" fontId="54" fillId="17" borderId="1" xfId="0" applyFont="1" applyFill="1" applyBorder="1" applyAlignment="1">
      <alignment horizontal="center" vertical="center" wrapText="1"/>
    </xf>
    <xf numFmtId="0" fontId="55" fillId="17" borderId="1" xfId="0" applyFont="1" applyFill="1" applyBorder="1" applyAlignment="1">
      <alignment horizontal="center" vertical="center"/>
    </xf>
    <xf numFmtId="0" fontId="56" fillId="1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57" fillId="7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center" vertical="center" wrapText="1"/>
    </xf>
    <xf numFmtId="1" fontId="41" fillId="16" borderId="1" xfId="0" applyNumberFormat="1" applyFont="1" applyFill="1" applyBorder="1" applyAlignment="1">
      <alignment horizontal="center" vertical="center"/>
    </xf>
    <xf numFmtId="0" fontId="41" fillId="16" borderId="1" xfId="0" applyFont="1" applyFill="1" applyBorder="1" applyAlignment="1">
      <alignment horizontal="center" vertical="center"/>
    </xf>
    <xf numFmtId="49" fontId="41" fillId="16" borderId="1" xfId="0" applyNumberFormat="1" applyFont="1" applyFill="1" applyBorder="1" applyAlignment="1">
      <alignment horizontal="center" vertical="center"/>
    </xf>
    <xf numFmtId="49" fontId="47" fillId="16" borderId="1" xfId="0" applyNumberFormat="1" applyFont="1" applyFill="1" applyBorder="1" applyAlignment="1">
      <alignment horizontal="center" vertical="center"/>
    </xf>
    <xf numFmtId="1" fontId="2" fillId="16" borderId="1" xfId="0" applyNumberFormat="1" applyFont="1" applyFill="1" applyBorder="1" applyAlignment="1">
      <alignment horizontal="center" vertical="center"/>
    </xf>
    <xf numFmtId="1" fontId="42" fillId="16" borderId="1" xfId="0" applyNumberFormat="1" applyFont="1" applyFill="1" applyBorder="1" applyAlignment="1">
      <alignment horizontal="center" vertical="center"/>
    </xf>
    <xf numFmtId="1" fontId="43" fillId="16" borderId="1" xfId="0" applyNumberFormat="1" applyFont="1" applyFill="1" applyBorder="1" applyAlignment="1">
      <alignment horizontal="center" vertical="center"/>
    </xf>
    <xf numFmtId="1" fontId="44" fillId="16" borderId="1" xfId="0" applyNumberFormat="1" applyFont="1" applyFill="1" applyBorder="1" applyAlignment="1">
      <alignment horizontal="center" vertical="center"/>
    </xf>
    <xf numFmtId="1" fontId="45" fillId="16" borderId="1" xfId="0" applyNumberFormat="1" applyFont="1" applyFill="1" applyBorder="1" applyAlignment="1">
      <alignment horizontal="center" vertical="center"/>
    </xf>
    <xf numFmtId="1" fontId="46" fillId="16" borderId="1" xfId="0" applyNumberFormat="1" applyFont="1" applyFill="1" applyBorder="1" applyAlignment="1">
      <alignment horizontal="center" vertical="center"/>
    </xf>
    <xf numFmtId="49" fontId="0" fillId="16" borderId="1" xfId="0" applyNumberFormat="1" applyFill="1" applyBorder="1" applyAlignment="1">
      <alignment horizontal="center" vertical="center"/>
    </xf>
    <xf numFmtId="2" fontId="0" fillId="16" borderId="1" xfId="0" applyNumberFormat="1" applyFill="1" applyBorder="1" applyAlignment="1">
      <alignment horizontal="center" vertical="center"/>
    </xf>
    <xf numFmtId="2" fontId="0" fillId="16" borderId="1" xfId="0" applyNumberFormat="1" applyFill="1" applyBorder="1"/>
    <xf numFmtId="1" fontId="41" fillId="20" borderId="1" xfId="0" applyNumberFormat="1" applyFont="1" applyFill="1" applyBorder="1" applyAlignment="1">
      <alignment horizontal="center" vertical="center"/>
    </xf>
    <xf numFmtId="49" fontId="41" fillId="16" borderId="1" xfId="3" applyNumberFormat="1" applyFont="1" applyFill="1" applyBorder="1" applyAlignment="1">
      <alignment horizontal="center" vertical="center"/>
    </xf>
    <xf numFmtId="0" fontId="0" fillId="17" borderId="29" xfId="3" applyNumberFormat="1" applyFont="1" applyFill="1" applyBorder="1" applyAlignment="1" applyProtection="1">
      <alignment horizontal="center" vertical="top" wrapText="1"/>
    </xf>
    <xf numFmtId="1" fontId="0" fillId="17" borderId="1" xfId="0" applyNumberFormat="1" applyFill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49" fontId="41" fillId="14" borderId="1" xfId="0" applyNumberFormat="1" applyFont="1" applyFill="1" applyBorder="1" applyAlignment="1">
      <alignment horizontal="center" vertical="center"/>
    </xf>
    <xf numFmtId="1" fontId="41" fillId="14" borderId="1" xfId="0" applyNumberFormat="1" applyFont="1" applyFill="1" applyBorder="1" applyAlignment="1">
      <alignment horizontal="center" vertical="center"/>
    </xf>
    <xf numFmtId="49" fontId="47" fillId="14" borderId="1" xfId="0" applyNumberFormat="1" applyFont="1" applyFill="1" applyBorder="1" applyAlignment="1">
      <alignment horizontal="center" vertical="center"/>
    </xf>
    <xf numFmtId="1" fontId="2" fillId="14" borderId="1" xfId="0" applyNumberFormat="1" applyFont="1" applyFill="1" applyBorder="1" applyAlignment="1">
      <alignment horizontal="center" vertical="center"/>
    </xf>
    <xf numFmtId="1" fontId="42" fillId="14" borderId="1" xfId="0" applyNumberFormat="1" applyFont="1" applyFill="1" applyBorder="1" applyAlignment="1">
      <alignment horizontal="center" vertical="center"/>
    </xf>
    <xf numFmtId="1" fontId="43" fillId="14" borderId="1" xfId="0" applyNumberFormat="1" applyFont="1" applyFill="1" applyBorder="1" applyAlignment="1">
      <alignment horizontal="center" vertical="center"/>
    </xf>
    <xf numFmtId="1" fontId="44" fillId="14" borderId="1" xfId="0" applyNumberFormat="1" applyFont="1" applyFill="1" applyBorder="1" applyAlignment="1">
      <alignment horizontal="center" vertical="center"/>
    </xf>
    <xf numFmtId="1" fontId="45" fillId="14" borderId="1" xfId="0" applyNumberFormat="1" applyFont="1" applyFill="1" applyBorder="1" applyAlignment="1">
      <alignment horizontal="center" vertical="center"/>
    </xf>
    <xf numFmtId="1" fontId="46" fillId="14" borderId="1" xfId="0" applyNumberFormat="1" applyFont="1" applyFill="1" applyBorder="1" applyAlignment="1">
      <alignment horizontal="center" vertical="center"/>
    </xf>
    <xf numFmtId="49" fontId="0" fillId="14" borderId="1" xfId="0" applyNumberFormat="1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/>
    </xf>
    <xf numFmtId="2" fontId="0" fillId="14" borderId="1" xfId="0" applyNumberFormat="1" applyFill="1" applyBorder="1"/>
    <xf numFmtId="49" fontId="41" fillId="13" borderId="1" xfId="0" applyNumberFormat="1" applyFont="1" applyFill="1" applyBorder="1" applyAlignment="1">
      <alignment horizontal="center" vertical="center"/>
    </xf>
    <xf numFmtId="1" fontId="41" fillId="13" borderId="1" xfId="0" applyNumberFormat="1" applyFont="1" applyFill="1" applyBorder="1" applyAlignment="1">
      <alignment horizontal="center" vertical="center"/>
    </xf>
    <xf numFmtId="49" fontId="47" fillId="13" borderId="1" xfId="0" applyNumberFormat="1" applyFont="1" applyFill="1" applyBorder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center"/>
    </xf>
    <xf numFmtId="1" fontId="42" fillId="13" borderId="1" xfId="0" applyNumberFormat="1" applyFont="1" applyFill="1" applyBorder="1" applyAlignment="1">
      <alignment horizontal="center" vertical="center"/>
    </xf>
    <xf numFmtId="1" fontId="43" fillId="13" borderId="1" xfId="0" applyNumberFormat="1" applyFont="1" applyFill="1" applyBorder="1" applyAlignment="1">
      <alignment horizontal="center" vertical="center"/>
    </xf>
    <xf numFmtId="1" fontId="44" fillId="13" borderId="1" xfId="0" applyNumberFormat="1" applyFont="1" applyFill="1" applyBorder="1" applyAlignment="1">
      <alignment horizontal="center" vertical="center"/>
    </xf>
    <xf numFmtId="1" fontId="45" fillId="13" borderId="1" xfId="0" applyNumberFormat="1" applyFont="1" applyFill="1" applyBorder="1" applyAlignment="1">
      <alignment horizontal="center" vertical="center"/>
    </xf>
    <xf numFmtId="1" fontId="46" fillId="13" borderId="1" xfId="0" applyNumberFormat="1" applyFont="1" applyFill="1" applyBorder="1" applyAlignment="1">
      <alignment horizontal="center" vertical="center"/>
    </xf>
    <xf numFmtId="49" fontId="0" fillId="13" borderId="1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2" fontId="0" fillId="13" borderId="1" xfId="0" applyNumberFormat="1" applyFill="1" applyBorder="1"/>
    <xf numFmtId="0" fontId="39" fillId="18" borderId="29" xfId="3" applyBorder="1" applyAlignment="1">
      <alignment horizontal="center" vertical="top" wrapText="1"/>
    </xf>
    <xf numFmtId="2" fontId="0" fillId="17" borderId="30" xfId="0" applyNumberFormat="1" applyFill="1" applyBorder="1" applyAlignment="1">
      <alignment horizontal="center" vertical="center"/>
    </xf>
    <xf numFmtId="2" fontId="0" fillId="17" borderId="3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0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2" fillId="7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16" borderId="24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6" borderId="25" xfId="0" applyFill="1" applyBorder="1" applyAlignment="1">
      <alignment horizontal="center" vertical="center"/>
    </xf>
    <xf numFmtId="0" fontId="5" fillId="14" borderId="9" xfId="0" applyFont="1" applyFill="1" applyBorder="1" applyAlignment="1">
      <alignment horizontal="center" vertical="center" wrapText="1"/>
    </xf>
    <xf numFmtId="0" fontId="5" fillId="14" borderId="12" xfId="0" applyFont="1" applyFill="1" applyBorder="1" applyAlignment="1">
      <alignment horizontal="center" vertical="center" wrapText="1"/>
    </xf>
    <xf numFmtId="0" fontId="5" fillId="14" borderId="14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 wrapText="1"/>
    </xf>
    <xf numFmtId="0" fontId="5" fillId="12" borderId="14" xfId="0" applyFont="1" applyFill="1" applyBorder="1" applyAlignment="1">
      <alignment horizontal="center" vertical="center" wrapText="1"/>
    </xf>
    <xf numFmtId="0" fontId="0" fillId="12" borderId="19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164" fontId="27" fillId="12" borderId="21" xfId="0" applyNumberFormat="1" applyFont="1" applyFill="1" applyBorder="1" applyAlignment="1">
      <alignment horizontal="center" vertical="center"/>
    </xf>
    <xf numFmtId="164" fontId="27" fillId="12" borderId="22" xfId="0" applyNumberFormat="1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14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164" fontId="27" fillId="7" borderId="21" xfId="0" applyNumberFormat="1" applyFont="1" applyFill="1" applyBorder="1" applyAlignment="1">
      <alignment horizontal="center" vertical="center"/>
    </xf>
    <xf numFmtId="164" fontId="27" fillId="7" borderId="22" xfId="0" applyNumberFormat="1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 wrapText="1"/>
    </xf>
    <xf numFmtId="0" fontId="0" fillId="12" borderId="17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27" fillId="12" borderId="19" xfId="0" applyFont="1" applyFill="1" applyBorder="1" applyAlignment="1">
      <alignment horizontal="center" vertical="center"/>
    </xf>
    <xf numFmtId="0" fontId="27" fillId="12" borderId="20" xfId="0" applyFont="1" applyFill="1" applyBorder="1" applyAlignment="1">
      <alignment horizontal="center" vertical="center"/>
    </xf>
    <xf numFmtId="0" fontId="26" fillId="10" borderId="24" xfId="0" applyFont="1" applyFill="1" applyBorder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26" fillId="10" borderId="25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5" fillId="11" borderId="14" xfId="0" applyFont="1" applyFill="1" applyBorder="1" applyAlignment="1">
      <alignment horizontal="center" vertical="center" wrapText="1"/>
    </xf>
    <xf numFmtId="0" fontId="27" fillId="11" borderId="10" xfId="0" applyFont="1" applyFill="1" applyBorder="1" applyAlignment="1">
      <alignment horizontal="center" vertical="center"/>
    </xf>
    <xf numFmtId="0" fontId="27" fillId="11" borderId="1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11" borderId="13" xfId="0" applyFont="1" applyFill="1" applyBorder="1" applyAlignment="1">
      <alignment horizontal="center" vertical="center"/>
    </xf>
    <xf numFmtId="0" fontId="27" fillId="11" borderId="15" xfId="0" applyFont="1" applyFill="1" applyBorder="1" applyAlignment="1">
      <alignment horizontal="center" vertical="center"/>
    </xf>
    <xf numFmtId="0" fontId="27" fillId="11" borderId="16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1" fontId="27" fillId="7" borderId="19" xfId="0" applyNumberFormat="1" applyFont="1" applyFill="1" applyBorder="1" applyAlignment="1">
      <alignment horizontal="center" vertical="center"/>
    </xf>
    <xf numFmtId="1" fontId="27" fillId="7" borderId="20" xfId="0" applyNumberFormat="1" applyFont="1" applyFill="1" applyBorder="1" applyAlignment="1">
      <alignment horizontal="center" vertical="center"/>
    </xf>
  </cellXfs>
  <cellStyles count="5">
    <cellStyle name="Bom" xfId="3" builtinId="26"/>
    <cellStyle name="Hiperlink" xfId="2" builtinId="8"/>
    <cellStyle name="Neutro" xfId="4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FFFF"/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Lançamentos!$A$2</c:f>
              <c:strCache>
                <c:ptCount val="1"/>
                <c:pt idx="0">
                  <c:v>LOGO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Lançamentos!$A$3:$A$158</c:f>
              <c:numCache>
                <c:formatCode>m/d/yyyy</c:formatCode>
                <c:ptCount val="156"/>
                <c:pt idx="0" formatCode="General">
                  <c:v>0</c:v>
                </c:pt>
                <c:pt idx="1">
                  <c:v>45597</c:v>
                </c:pt>
                <c:pt idx="2" formatCode="@">
                  <c:v>0</c:v>
                </c:pt>
                <c:pt idx="3" formatCode="@">
                  <c:v>0</c:v>
                </c:pt>
                <c:pt idx="4" formatCode="@">
                  <c:v>0</c:v>
                </c:pt>
                <c:pt idx="5" formatCode="@">
                  <c:v>0</c:v>
                </c:pt>
                <c:pt idx="6" formatCode="@">
                  <c:v>0</c:v>
                </c:pt>
                <c:pt idx="7" formatCode="@">
                  <c:v>0</c:v>
                </c:pt>
                <c:pt idx="8" formatCode="@">
                  <c:v>0</c:v>
                </c:pt>
                <c:pt idx="9" formatCode="@">
                  <c:v>0</c:v>
                </c:pt>
                <c:pt idx="10" formatCode="@">
                  <c:v>0</c:v>
                </c:pt>
                <c:pt idx="11" formatCode="@">
                  <c:v>0</c:v>
                </c:pt>
                <c:pt idx="12" formatCode="@">
                  <c:v>0</c:v>
                </c:pt>
                <c:pt idx="13" formatCode="@">
                  <c:v>0</c:v>
                </c:pt>
                <c:pt idx="14" formatCode="@">
                  <c:v>0</c:v>
                </c:pt>
                <c:pt idx="15" formatCode="@">
                  <c:v>0</c:v>
                </c:pt>
                <c:pt idx="16" formatCode="@">
                  <c:v>0</c:v>
                </c:pt>
                <c:pt idx="17" formatCode="@">
                  <c:v>0</c:v>
                </c:pt>
                <c:pt idx="18" formatCode="@">
                  <c:v>0</c:v>
                </c:pt>
                <c:pt idx="19" formatCode="@">
                  <c:v>0</c:v>
                </c:pt>
                <c:pt idx="20" formatCode="@">
                  <c:v>0</c:v>
                </c:pt>
                <c:pt idx="21" formatCode="@">
                  <c:v>0</c:v>
                </c:pt>
                <c:pt idx="22" formatCode="@">
                  <c:v>0</c:v>
                </c:pt>
                <c:pt idx="23" formatCode="@">
                  <c:v>0</c:v>
                </c:pt>
                <c:pt idx="24" formatCode="@">
                  <c:v>0</c:v>
                </c:pt>
                <c:pt idx="25" formatCode="@">
                  <c:v>0</c:v>
                </c:pt>
                <c:pt idx="26" formatCode="@">
                  <c:v>0</c:v>
                </c:pt>
                <c:pt idx="27" formatCode="@">
                  <c:v>0</c:v>
                </c:pt>
                <c:pt idx="28" formatCode="@">
                  <c:v>0</c:v>
                </c:pt>
                <c:pt idx="29" formatCode="@">
                  <c:v>0</c:v>
                </c:pt>
                <c:pt idx="30" formatCode="@">
                  <c:v>0</c:v>
                </c:pt>
                <c:pt idx="31" formatCode="@">
                  <c:v>0</c:v>
                </c:pt>
                <c:pt idx="32" formatCode="@">
                  <c:v>0</c:v>
                </c:pt>
                <c:pt idx="33" formatCode="@">
                  <c:v>0</c:v>
                </c:pt>
                <c:pt idx="34" formatCode="@">
                  <c:v>0</c:v>
                </c:pt>
                <c:pt idx="35" formatCode="@">
                  <c:v>0</c:v>
                </c:pt>
                <c:pt idx="36" formatCode="@">
                  <c:v>0</c:v>
                </c:pt>
                <c:pt idx="37" formatCode="@">
                  <c:v>0</c:v>
                </c:pt>
                <c:pt idx="38" formatCode="@">
                  <c:v>0</c:v>
                </c:pt>
                <c:pt idx="39" formatCode="@">
                  <c:v>0</c:v>
                </c:pt>
                <c:pt idx="40" formatCode="@">
                  <c:v>0</c:v>
                </c:pt>
                <c:pt idx="41" formatCode="@">
                  <c:v>0</c:v>
                </c:pt>
                <c:pt idx="42" formatCode="@">
                  <c:v>0</c:v>
                </c:pt>
                <c:pt idx="43" formatCode="@">
                  <c:v>0</c:v>
                </c:pt>
                <c:pt idx="44" formatCode="@">
                  <c:v>0</c:v>
                </c:pt>
                <c:pt idx="45" formatCode="@">
                  <c:v>0</c:v>
                </c:pt>
                <c:pt idx="46" formatCode="@">
                  <c:v>0</c:v>
                </c:pt>
                <c:pt idx="47" formatCode="@">
                  <c:v>0</c:v>
                </c:pt>
                <c:pt idx="48" formatCode="@">
                  <c:v>0</c:v>
                </c:pt>
                <c:pt idx="49" formatCode="@">
                  <c:v>0</c:v>
                </c:pt>
                <c:pt idx="50" formatCode="@">
                  <c:v>0</c:v>
                </c:pt>
                <c:pt idx="51" formatCode="@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  <c:pt idx="61" formatCode="@">
                  <c:v>0</c:v>
                </c:pt>
                <c:pt idx="62" formatCode="@">
                  <c:v>0</c:v>
                </c:pt>
                <c:pt idx="63" formatCode="@">
                  <c:v>0</c:v>
                </c:pt>
                <c:pt idx="64" formatCode="@">
                  <c:v>0</c:v>
                </c:pt>
                <c:pt idx="65" formatCode="@">
                  <c:v>0</c:v>
                </c:pt>
                <c:pt idx="66" formatCode="@">
                  <c:v>0</c:v>
                </c:pt>
                <c:pt idx="67" formatCode="@">
                  <c:v>0</c:v>
                </c:pt>
                <c:pt idx="68" formatCode="@">
                  <c:v>0</c:v>
                </c:pt>
                <c:pt idx="69" formatCode="@">
                  <c:v>0</c:v>
                </c:pt>
                <c:pt idx="70" formatCode="@">
                  <c:v>0</c:v>
                </c:pt>
                <c:pt idx="71" formatCode="@">
                  <c:v>0</c:v>
                </c:pt>
                <c:pt idx="72" formatCode="@">
                  <c:v>0</c:v>
                </c:pt>
                <c:pt idx="73" formatCode="@">
                  <c:v>0</c:v>
                </c:pt>
                <c:pt idx="74" formatCode="@">
                  <c:v>0</c:v>
                </c:pt>
                <c:pt idx="75" formatCode="@">
                  <c:v>0</c:v>
                </c:pt>
                <c:pt idx="76" formatCode="@">
                  <c:v>0</c:v>
                </c:pt>
                <c:pt idx="77" formatCode="@">
                  <c:v>0</c:v>
                </c:pt>
                <c:pt idx="78" formatCode="@">
                  <c:v>0</c:v>
                </c:pt>
                <c:pt idx="81" formatCode="@">
                  <c:v>0</c:v>
                </c:pt>
                <c:pt idx="82" formatCode="@">
                  <c:v>0</c:v>
                </c:pt>
                <c:pt idx="83" formatCode="@">
                  <c:v>0</c:v>
                </c:pt>
                <c:pt idx="84" formatCode="@">
                  <c:v>0</c:v>
                </c:pt>
                <c:pt idx="85" formatCode="@">
                  <c:v>0</c:v>
                </c:pt>
                <c:pt idx="86" formatCode="@">
                  <c:v>0</c:v>
                </c:pt>
                <c:pt idx="87" formatCode="@">
                  <c:v>0</c:v>
                </c:pt>
                <c:pt idx="88" formatCode="@">
                  <c:v>0</c:v>
                </c:pt>
                <c:pt idx="89" formatCode="@">
                  <c:v>0</c:v>
                </c:pt>
                <c:pt idx="90" formatCode="@">
                  <c:v>0</c:v>
                </c:pt>
                <c:pt idx="91" formatCode="@">
                  <c:v>0</c:v>
                </c:pt>
                <c:pt idx="92" formatCode="@">
                  <c:v>0</c:v>
                </c:pt>
                <c:pt idx="93" formatCode="@">
                  <c:v>0</c:v>
                </c:pt>
                <c:pt idx="94" formatCode="@">
                  <c:v>0</c:v>
                </c:pt>
                <c:pt idx="95" formatCode="@">
                  <c:v>0</c:v>
                </c:pt>
                <c:pt idx="96" formatCode="@">
                  <c:v>0</c:v>
                </c:pt>
                <c:pt idx="97" formatCode="@">
                  <c:v>0</c:v>
                </c:pt>
                <c:pt idx="98" formatCode="@">
                  <c:v>0</c:v>
                </c:pt>
                <c:pt idx="99" formatCode="@">
                  <c:v>0</c:v>
                </c:pt>
                <c:pt idx="100" formatCode="@">
                  <c:v>0</c:v>
                </c:pt>
                <c:pt idx="101" formatCode="@">
                  <c:v>0</c:v>
                </c:pt>
                <c:pt idx="102" formatCode="@">
                  <c:v>0</c:v>
                </c:pt>
                <c:pt idx="103" formatCode="@">
                  <c:v>0</c:v>
                </c:pt>
                <c:pt idx="104" formatCode="@">
                  <c:v>0</c:v>
                </c:pt>
                <c:pt idx="105" formatCode="@">
                  <c:v>0</c:v>
                </c:pt>
                <c:pt idx="106" formatCode="@">
                  <c:v>0</c:v>
                </c:pt>
                <c:pt idx="107" formatCode="@">
                  <c:v>0</c:v>
                </c:pt>
                <c:pt idx="108" formatCode="@">
                  <c:v>0</c:v>
                </c:pt>
                <c:pt idx="109" formatCode="@">
                  <c:v>0</c:v>
                </c:pt>
                <c:pt idx="110" formatCode="@">
                  <c:v>0</c:v>
                </c:pt>
                <c:pt idx="111" formatCode="@">
                  <c:v>0</c:v>
                </c:pt>
                <c:pt idx="112" formatCode="@">
                  <c:v>0</c:v>
                </c:pt>
                <c:pt idx="113" formatCode="@">
                  <c:v>0</c:v>
                </c:pt>
                <c:pt idx="114" formatCode="@">
                  <c:v>0</c:v>
                </c:pt>
                <c:pt idx="115" formatCode="@">
                  <c:v>0</c:v>
                </c:pt>
                <c:pt idx="116" formatCode="@">
                  <c:v>0</c:v>
                </c:pt>
                <c:pt idx="117" formatCode="@">
                  <c:v>0</c:v>
                </c:pt>
                <c:pt idx="118" formatCode="@">
                  <c:v>0</c:v>
                </c:pt>
                <c:pt idx="119" formatCode="@">
                  <c:v>0</c:v>
                </c:pt>
                <c:pt idx="120" formatCode="@">
                  <c:v>0</c:v>
                </c:pt>
                <c:pt idx="121" formatCode="@">
                  <c:v>0</c:v>
                </c:pt>
                <c:pt idx="122" formatCode="@">
                  <c:v>0</c:v>
                </c:pt>
                <c:pt idx="123" formatCode="@">
                  <c:v>0</c:v>
                </c:pt>
                <c:pt idx="155" formatCode="General">
                  <c:v>45420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C-48C1-8724-CAFA6819487D}"/>
            </c:ext>
          </c:extLst>
        </c:ser>
        <c:ser>
          <c:idx val="1"/>
          <c:order val="1"/>
          <c:tx>
            <c:strRef>
              <c:f>Lançamentos!$B$2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Lançamentos!$B$3:$B$158</c:f>
              <c:numCache>
                <c:formatCode>@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 formatCode="General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 formatCode="General">
                  <c:v>52215</c:v>
                </c:pt>
                <c:pt idx="36" formatCode="General">
                  <c:v>52131</c:v>
                </c:pt>
                <c:pt idx="37" formatCode="General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 formatCode="General">
                  <c:v>52028</c:v>
                </c:pt>
                <c:pt idx="77" formatCode="General">
                  <c:v>52032</c:v>
                </c:pt>
                <c:pt idx="78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2C-48C1-8724-CAFA6819487D}"/>
            </c:ext>
          </c:extLst>
        </c:ser>
        <c:ser>
          <c:idx val="2"/>
          <c:order val="2"/>
          <c:tx>
            <c:strRef>
              <c:f>Lançamentos!$K$2</c:f>
              <c:strCache>
                <c:ptCount val="1"/>
                <c:pt idx="0">
                  <c:v>CONTROLE DE QUALIDADE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Lançamentos!$K$3:$K$158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2C-48C1-8724-CAFA6819487D}"/>
            </c:ext>
          </c:extLst>
        </c:ser>
        <c:ser>
          <c:idx val="3"/>
          <c:order val="3"/>
          <c:tx>
            <c:strRef>
              <c:f>Lançamentos!$L$2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Lançamentos!$L$3:$L$158</c:f>
              <c:numCache>
                <c:formatCode>@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 formatCode="General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 formatCode="General">
                  <c:v>84767</c:v>
                </c:pt>
                <c:pt idx="36" formatCode="General">
                  <c:v>84604</c:v>
                </c:pt>
                <c:pt idx="37" formatCode="General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 formatCode="General">
                  <c:v>84538</c:v>
                </c:pt>
                <c:pt idx="77" formatCode="General">
                  <c:v>84538</c:v>
                </c:pt>
                <c:pt idx="78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 formatCode="0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2C-48C1-8724-CAFA6819487D}"/>
            </c:ext>
          </c:extLst>
        </c:ser>
        <c:ser>
          <c:idx val="4"/>
          <c:order val="4"/>
          <c:tx>
            <c:strRef>
              <c:f>Lançamentos!$M$2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Lançamentos!$M$3:$M$158</c:f>
              <c:numCache>
                <c:formatCode>@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 formatCode="General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 formatCode="General">
                  <c:v>3759301001</c:v>
                </c:pt>
                <c:pt idx="77" formatCode="General">
                  <c:v>3759301005</c:v>
                </c:pt>
                <c:pt idx="78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2C-48C1-8724-CAFA6819487D}"/>
            </c:ext>
          </c:extLst>
        </c:ser>
        <c:ser>
          <c:idx val="5"/>
          <c:order val="5"/>
          <c:tx>
            <c:strRef>
              <c:f>Lançamentos!$N$2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Lançamentos!$N$3:$N$158</c:f>
              <c:numCache>
                <c:formatCode>General</c:formatCode>
                <c:ptCount val="156"/>
                <c:pt idx="0">
                  <c:v>0</c:v>
                </c:pt>
                <c:pt idx="1">
                  <c:v>2</c:v>
                </c:pt>
                <c:pt idx="2" formatCode="0">
                  <c:v>1</c:v>
                </c:pt>
                <c:pt idx="3" formatCode="0">
                  <c:v>1</c:v>
                </c:pt>
                <c:pt idx="4" formatCode="0">
                  <c:v>8</c:v>
                </c:pt>
                <c:pt idx="5" formatCode="0">
                  <c:v>4</c:v>
                </c:pt>
                <c:pt idx="6" formatCode="0">
                  <c:v>1</c:v>
                </c:pt>
                <c:pt idx="7" formatCode="0">
                  <c:v>2</c:v>
                </c:pt>
                <c:pt idx="8" formatCode="0">
                  <c:v>2</c:v>
                </c:pt>
                <c:pt idx="9" formatCode="0">
                  <c:v>2</c:v>
                </c:pt>
                <c:pt idx="10" formatCode="0">
                  <c:v>2</c:v>
                </c:pt>
                <c:pt idx="11" formatCode="0">
                  <c:v>1</c:v>
                </c:pt>
                <c:pt idx="12" formatCode="0">
                  <c:v>2</c:v>
                </c:pt>
                <c:pt idx="13" formatCode="0">
                  <c:v>2</c:v>
                </c:pt>
                <c:pt idx="14" formatCode="0">
                  <c:v>1</c:v>
                </c:pt>
                <c:pt idx="15" formatCode="0">
                  <c:v>1</c:v>
                </c:pt>
                <c:pt idx="16" formatCode="0">
                  <c:v>5</c:v>
                </c:pt>
                <c:pt idx="17" formatCode="0">
                  <c:v>1</c:v>
                </c:pt>
                <c:pt idx="18" formatCode="0">
                  <c:v>2</c:v>
                </c:pt>
                <c:pt idx="19" formatCode="0">
                  <c:v>2</c:v>
                </c:pt>
                <c:pt idx="20" formatCode="0">
                  <c:v>1</c:v>
                </c:pt>
                <c:pt idx="21" formatCode="0">
                  <c:v>3</c:v>
                </c:pt>
                <c:pt idx="22" formatCode="0">
                  <c:v>1</c:v>
                </c:pt>
                <c:pt idx="23" formatCode="0">
                  <c:v>1</c:v>
                </c:pt>
                <c:pt idx="24" formatCode="0">
                  <c:v>1</c:v>
                </c:pt>
                <c:pt idx="25" formatCode="0">
                  <c:v>3</c:v>
                </c:pt>
                <c:pt idx="26" formatCode="0">
                  <c:v>6</c:v>
                </c:pt>
                <c:pt idx="27" formatCode="0">
                  <c:v>1</c:v>
                </c:pt>
                <c:pt idx="28" formatCode="0">
                  <c:v>2</c:v>
                </c:pt>
                <c:pt idx="29" formatCode="0">
                  <c:v>1</c:v>
                </c:pt>
                <c:pt idx="30" formatCode="0">
                  <c:v>1</c:v>
                </c:pt>
                <c:pt idx="31" formatCode="0">
                  <c:v>2</c:v>
                </c:pt>
                <c:pt idx="32" formatCode="0">
                  <c:v>2</c:v>
                </c:pt>
                <c:pt idx="33" formatCode="0">
                  <c:v>2</c:v>
                </c:pt>
                <c:pt idx="34" formatCode="0">
                  <c:v>2</c:v>
                </c:pt>
                <c:pt idx="35" formatCode="0">
                  <c:v>2</c:v>
                </c:pt>
                <c:pt idx="36" formatCode="0">
                  <c:v>1</c:v>
                </c:pt>
                <c:pt idx="37" formatCode="0">
                  <c:v>1</c:v>
                </c:pt>
                <c:pt idx="38" formatCode="0">
                  <c:v>1</c:v>
                </c:pt>
                <c:pt idx="39" formatCode="0">
                  <c:v>1</c:v>
                </c:pt>
                <c:pt idx="40" formatCode="0">
                  <c:v>1</c:v>
                </c:pt>
                <c:pt idx="41" formatCode="0">
                  <c:v>1</c:v>
                </c:pt>
                <c:pt idx="42" formatCode="0">
                  <c:v>1</c:v>
                </c:pt>
                <c:pt idx="43" formatCode="0">
                  <c:v>2</c:v>
                </c:pt>
                <c:pt idx="44" formatCode="0">
                  <c:v>1</c:v>
                </c:pt>
                <c:pt idx="45" formatCode="0">
                  <c:v>1</c:v>
                </c:pt>
                <c:pt idx="46" formatCode="0">
                  <c:v>1</c:v>
                </c:pt>
                <c:pt idx="47" formatCode="0">
                  <c:v>1</c:v>
                </c:pt>
                <c:pt idx="48" formatCode="0">
                  <c:v>2</c:v>
                </c:pt>
                <c:pt idx="49" formatCode="0">
                  <c:v>2</c:v>
                </c:pt>
                <c:pt idx="50" formatCode="0">
                  <c:v>2</c:v>
                </c:pt>
                <c:pt idx="51" formatCode="0">
                  <c:v>1</c:v>
                </c:pt>
                <c:pt idx="52" formatCode="0">
                  <c:v>3</c:v>
                </c:pt>
                <c:pt idx="53" formatCode="0">
                  <c:v>1</c:v>
                </c:pt>
                <c:pt idx="54" formatCode="0">
                  <c:v>2</c:v>
                </c:pt>
                <c:pt idx="55" formatCode="0">
                  <c:v>2</c:v>
                </c:pt>
                <c:pt idx="56" formatCode="0">
                  <c:v>1</c:v>
                </c:pt>
                <c:pt idx="57" formatCode="0">
                  <c:v>1</c:v>
                </c:pt>
                <c:pt idx="58" formatCode="0">
                  <c:v>1</c:v>
                </c:pt>
                <c:pt idx="59" formatCode="0">
                  <c:v>1</c:v>
                </c:pt>
                <c:pt idx="60" formatCode="0">
                  <c:v>1</c:v>
                </c:pt>
                <c:pt idx="61" formatCode="0">
                  <c:v>1</c:v>
                </c:pt>
                <c:pt idx="62" formatCode="0">
                  <c:v>1</c:v>
                </c:pt>
                <c:pt idx="63" formatCode="0">
                  <c:v>1</c:v>
                </c:pt>
                <c:pt idx="64" formatCode="0">
                  <c:v>4</c:v>
                </c:pt>
                <c:pt idx="65" formatCode="0">
                  <c:v>2</c:v>
                </c:pt>
                <c:pt idx="66" formatCode="0">
                  <c:v>6</c:v>
                </c:pt>
                <c:pt idx="67" formatCode="0">
                  <c:v>2</c:v>
                </c:pt>
                <c:pt idx="68" formatCode="0">
                  <c:v>1</c:v>
                </c:pt>
                <c:pt idx="69" formatCode="0">
                  <c:v>1</c:v>
                </c:pt>
                <c:pt idx="70" formatCode="0">
                  <c:v>2</c:v>
                </c:pt>
                <c:pt idx="71" formatCode="0">
                  <c:v>1</c:v>
                </c:pt>
                <c:pt idx="73" formatCode="0">
                  <c:v>1</c:v>
                </c:pt>
                <c:pt idx="74" formatCode="0">
                  <c:v>1</c:v>
                </c:pt>
                <c:pt idx="75" formatCode="0">
                  <c:v>1</c:v>
                </c:pt>
                <c:pt idx="76" formatCode="0">
                  <c:v>1</c:v>
                </c:pt>
                <c:pt idx="77" formatCode="0">
                  <c:v>2</c:v>
                </c:pt>
                <c:pt idx="78" formatCode="0">
                  <c:v>2</c:v>
                </c:pt>
                <c:pt idx="79" formatCode="0">
                  <c:v>4</c:v>
                </c:pt>
                <c:pt idx="80" formatCode="0">
                  <c:v>2</c:v>
                </c:pt>
                <c:pt idx="81" formatCode="0">
                  <c:v>1</c:v>
                </c:pt>
                <c:pt idx="82" formatCode="0">
                  <c:v>1</c:v>
                </c:pt>
                <c:pt idx="83" formatCode="0">
                  <c:v>1</c:v>
                </c:pt>
                <c:pt idx="84" formatCode="0">
                  <c:v>2</c:v>
                </c:pt>
                <c:pt idx="85" formatCode="0">
                  <c:v>1</c:v>
                </c:pt>
                <c:pt idx="86" formatCode="0">
                  <c:v>1</c:v>
                </c:pt>
                <c:pt idx="87" formatCode="0">
                  <c:v>1</c:v>
                </c:pt>
                <c:pt idx="88" formatCode="0">
                  <c:v>1</c:v>
                </c:pt>
                <c:pt idx="89" formatCode="0">
                  <c:v>1</c:v>
                </c:pt>
                <c:pt idx="90" formatCode="0">
                  <c:v>2</c:v>
                </c:pt>
                <c:pt idx="91" formatCode="0">
                  <c:v>1</c:v>
                </c:pt>
                <c:pt idx="92" formatCode="0">
                  <c:v>1</c:v>
                </c:pt>
                <c:pt idx="93" formatCode="0">
                  <c:v>1</c:v>
                </c:pt>
                <c:pt idx="94" formatCode="0">
                  <c:v>1</c:v>
                </c:pt>
                <c:pt idx="95" formatCode="0">
                  <c:v>1</c:v>
                </c:pt>
                <c:pt idx="96" formatCode="0">
                  <c:v>1</c:v>
                </c:pt>
                <c:pt idx="97" formatCode="0">
                  <c:v>1</c:v>
                </c:pt>
                <c:pt idx="98" formatCode="0">
                  <c:v>4</c:v>
                </c:pt>
                <c:pt idx="99" formatCode="0">
                  <c:v>1</c:v>
                </c:pt>
                <c:pt idx="100" formatCode="0">
                  <c:v>1</c:v>
                </c:pt>
                <c:pt idx="101" formatCode="0">
                  <c:v>1</c:v>
                </c:pt>
                <c:pt idx="102" formatCode="0">
                  <c:v>2</c:v>
                </c:pt>
                <c:pt idx="103" formatCode="0">
                  <c:v>1</c:v>
                </c:pt>
                <c:pt idx="104" formatCode="0">
                  <c:v>1</c:v>
                </c:pt>
                <c:pt idx="105" formatCode="0">
                  <c:v>1</c:v>
                </c:pt>
                <c:pt idx="106" formatCode="0">
                  <c:v>1</c:v>
                </c:pt>
                <c:pt idx="107" formatCode="0">
                  <c:v>1</c:v>
                </c:pt>
                <c:pt idx="108" formatCode="0">
                  <c:v>1</c:v>
                </c:pt>
                <c:pt idx="109" formatCode="0">
                  <c:v>1</c:v>
                </c:pt>
                <c:pt idx="110" formatCode="0">
                  <c:v>1</c:v>
                </c:pt>
                <c:pt idx="111" formatCode="0">
                  <c:v>11</c:v>
                </c:pt>
                <c:pt idx="112" formatCode="0">
                  <c:v>11</c:v>
                </c:pt>
                <c:pt idx="113" formatCode="0">
                  <c:v>4</c:v>
                </c:pt>
                <c:pt idx="114" formatCode="0">
                  <c:v>10</c:v>
                </c:pt>
                <c:pt idx="115" formatCode="0">
                  <c:v>24</c:v>
                </c:pt>
                <c:pt idx="116" formatCode="0">
                  <c:v>60</c:v>
                </c:pt>
                <c:pt idx="117" formatCode="0">
                  <c:v>1</c:v>
                </c:pt>
                <c:pt idx="118" formatCode="0">
                  <c:v>2</c:v>
                </c:pt>
                <c:pt idx="119" formatCode="0">
                  <c:v>10</c:v>
                </c:pt>
                <c:pt idx="120" formatCode="0">
                  <c:v>1</c:v>
                </c:pt>
                <c:pt idx="121" formatCode="0">
                  <c:v>1</c:v>
                </c:pt>
                <c:pt idx="122" formatCode="0">
                  <c:v>1</c:v>
                </c:pt>
                <c:pt idx="123" formatCode="0">
                  <c:v>1</c:v>
                </c:pt>
                <c:pt idx="155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2C-48C1-8724-CAFA6819487D}"/>
            </c:ext>
          </c:extLst>
        </c:ser>
        <c:ser>
          <c:idx val="6"/>
          <c:order val="6"/>
          <c:tx>
            <c:strRef>
              <c:f>Lançamentos!$O$2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Lançamentos!$O$3:$O$158</c:f>
              <c:numCache>
                <c:formatCode>General</c:formatCode>
                <c:ptCount val="156"/>
                <c:pt idx="0">
                  <c:v>0</c:v>
                </c:pt>
                <c:pt idx="1">
                  <c:v>1</c:v>
                </c:pt>
                <c:pt idx="2" formatCode="0">
                  <c:v>1</c:v>
                </c:pt>
                <c:pt idx="3" formatCode="0">
                  <c:v>1</c:v>
                </c:pt>
                <c:pt idx="4" formatCode="0">
                  <c:v>8</c:v>
                </c:pt>
                <c:pt idx="5" formatCode="0">
                  <c:v>4</c:v>
                </c:pt>
                <c:pt idx="6" formatCode="0">
                  <c:v>1</c:v>
                </c:pt>
                <c:pt idx="7" formatCode="0">
                  <c:v>2</c:v>
                </c:pt>
                <c:pt idx="8" formatCode="0">
                  <c:v>2</c:v>
                </c:pt>
                <c:pt idx="9" formatCode="0">
                  <c:v>2</c:v>
                </c:pt>
                <c:pt idx="10" formatCode="0">
                  <c:v>2</c:v>
                </c:pt>
                <c:pt idx="11" formatCode="0">
                  <c:v>1</c:v>
                </c:pt>
                <c:pt idx="12" formatCode="0">
                  <c:v>1</c:v>
                </c:pt>
                <c:pt idx="13" formatCode="0">
                  <c:v>2</c:v>
                </c:pt>
                <c:pt idx="14" formatCode="0">
                  <c:v>1</c:v>
                </c:pt>
                <c:pt idx="15" formatCode="0">
                  <c:v>1</c:v>
                </c:pt>
                <c:pt idx="16" formatCode="0">
                  <c:v>5</c:v>
                </c:pt>
                <c:pt idx="17" formatCode="0">
                  <c:v>0</c:v>
                </c:pt>
                <c:pt idx="18" formatCode="0">
                  <c:v>2</c:v>
                </c:pt>
                <c:pt idx="19" formatCode="0">
                  <c:v>2</c:v>
                </c:pt>
                <c:pt idx="20" formatCode="0">
                  <c:v>1</c:v>
                </c:pt>
                <c:pt idx="21" formatCode="0">
                  <c:v>2</c:v>
                </c:pt>
                <c:pt idx="22" formatCode="0">
                  <c:v>1</c:v>
                </c:pt>
                <c:pt idx="23" formatCode="0">
                  <c:v>1</c:v>
                </c:pt>
                <c:pt idx="24" formatCode="0">
                  <c:v>0</c:v>
                </c:pt>
                <c:pt idx="25" formatCode="0">
                  <c:v>3</c:v>
                </c:pt>
                <c:pt idx="26" formatCode="0">
                  <c:v>6</c:v>
                </c:pt>
                <c:pt idx="27" formatCode="0">
                  <c:v>0</c:v>
                </c:pt>
                <c:pt idx="28" formatCode="0">
                  <c:v>2</c:v>
                </c:pt>
                <c:pt idx="29" formatCode="0">
                  <c:v>1</c:v>
                </c:pt>
                <c:pt idx="30" formatCode="0">
                  <c:v>1</c:v>
                </c:pt>
                <c:pt idx="31" formatCode="0">
                  <c:v>2</c:v>
                </c:pt>
                <c:pt idx="32" formatCode="0">
                  <c:v>2</c:v>
                </c:pt>
                <c:pt idx="33" formatCode="0">
                  <c:v>2</c:v>
                </c:pt>
                <c:pt idx="34" formatCode="0">
                  <c:v>2</c:v>
                </c:pt>
                <c:pt idx="35" formatCode="0">
                  <c:v>2</c:v>
                </c:pt>
                <c:pt idx="36" formatCode="0">
                  <c:v>1</c:v>
                </c:pt>
                <c:pt idx="37" formatCode="0">
                  <c:v>1</c:v>
                </c:pt>
                <c:pt idx="38" formatCode="0">
                  <c:v>1</c:v>
                </c:pt>
                <c:pt idx="39" formatCode="0">
                  <c:v>1</c:v>
                </c:pt>
                <c:pt idx="40" formatCode="0">
                  <c:v>1</c:v>
                </c:pt>
                <c:pt idx="41" formatCode="0">
                  <c:v>1</c:v>
                </c:pt>
                <c:pt idx="42" formatCode="0">
                  <c:v>1</c:v>
                </c:pt>
                <c:pt idx="43" formatCode="0">
                  <c:v>2</c:v>
                </c:pt>
                <c:pt idx="44" formatCode="0">
                  <c:v>1</c:v>
                </c:pt>
                <c:pt idx="45" formatCode="0">
                  <c:v>1</c:v>
                </c:pt>
                <c:pt idx="46" formatCode="0">
                  <c:v>1</c:v>
                </c:pt>
                <c:pt idx="47" formatCode="0">
                  <c:v>0</c:v>
                </c:pt>
                <c:pt idx="48" formatCode="0">
                  <c:v>2</c:v>
                </c:pt>
                <c:pt idx="49" formatCode="0">
                  <c:v>2</c:v>
                </c:pt>
                <c:pt idx="50" formatCode="0">
                  <c:v>2</c:v>
                </c:pt>
                <c:pt idx="51" formatCode="0">
                  <c:v>1</c:v>
                </c:pt>
                <c:pt idx="52" formatCode="0">
                  <c:v>3</c:v>
                </c:pt>
                <c:pt idx="53" formatCode="0">
                  <c:v>1</c:v>
                </c:pt>
                <c:pt idx="54" formatCode="0">
                  <c:v>2</c:v>
                </c:pt>
                <c:pt idx="55" formatCode="0">
                  <c:v>2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1</c:v>
                </c:pt>
                <c:pt idx="59" formatCode="0">
                  <c:v>1</c:v>
                </c:pt>
                <c:pt idx="60" formatCode="0">
                  <c:v>1</c:v>
                </c:pt>
                <c:pt idx="61" formatCode="0">
                  <c:v>0</c:v>
                </c:pt>
                <c:pt idx="62" formatCode="0">
                  <c:v>1</c:v>
                </c:pt>
                <c:pt idx="63" formatCode="0">
                  <c:v>1</c:v>
                </c:pt>
                <c:pt idx="64" formatCode="0">
                  <c:v>4</c:v>
                </c:pt>
                <c:pt idx="65" formatCode="0">
                  <c:v>2</c:v>
                </c:pt>
                <c:pt idx="66" formatCode="0">
                  <c:v>4</c:v>
                </c:pt>
                <c:pt idx="67" formatCode="0">
                  <c:v>2</c:v>
                </c:pt>
                <c:pt idx="68" formatCode="0">
                  <c:v>1</c:v>
                </c:pt>
                <c:pt idx="69" formatCode="0">
                  <c:v>1</c:v>
                </c:pt>
                <c:pt idx="70" formatCode="0">
                  <c:v>2</c:v>
                </c:pt>
                <c:pt idx="71" formatCode="0">
                  <c:v>1</c:v>
                </c:pt>
                <c:pt idx="73" formatCode="0">
                  <c:v>1</c:v>
                </c:pt>
                <c:pt idx="74" formatCode="0">
                  <c:v>1</c:v>
                </c:pt>
                <c:pt idx="75" formatCode="0">
                  <c:v>1</c:v>
                </c:pt>
                <c:pt idx="76" formatCode="0">
                  <c:v>1</c:v>
                </c:pt>
                <c:pt idx="77" formatCode="0">
                  <c:v>2</c:v>
                </c:pt>
                <c:pt idx="78" formatCode="0">
                  <c:v>2</c:v>
                </c:pt>
                <c:pt idx="79" formatCode="0">
                  <c:v>4</c:v>
                </c:pt>
                <c:pt idx="80" formatCode="0">
                  <c:v>2</c:v>
                </c:pt>
                <c:pt idx="81" formatCode="0">
                  <c:v>1</c:v>
                </c:pt>
                <c:pt idx="82" formatCode="0">
                  <c:v>1</c:v>
                </c:pt>
                <c:pt idx="83" formatCode="0">
                  <c:v>1</c:v>
                </c:pt>
                <c:pt idx="84" formatCode="0">
                  <c:v>2</c:v>
                </c:pt>
                <c:pt idx="85" formatCode="0">
                  <c:v>1</c:v>
                </c:pt>
                <c:pt idx="86" formatCode="0">
                  <c:v>1</c:v>
                </c:pt>
                <c:pt idx="87" formatCode="0">
                  <c:v>1</c:v>
                </c:pt>
                <c:pt idx="88" formatCode="0">
                  <c:v>1</c:v>
                </c:pt>
                <c:pt idx="89" formatCode="0">
                  <c:v>1</c:v>
                </c:pt>
                <c:pt idx="90" formatCode="0">
                  <c:v>2</c:v>
                </c:pt>
                <c:pt idx="91" formatCode="0">
                  <c:v>1</c:v>
                </c:pt>
                <c:pt idx="92" formatCode="0">
                  <c:v>1</c:v>
                </c:pt>
                <c:pt idx="93" formatCode="0">
                  <c:v>1</c:v>
                </c:pt>
                <c:pt idx="94" formatCode="0">
                  <c:v>1</c:v>
                </c:pt>
                <c:pt idx="95" formatCode="0">
                  <c:v>1</c:v>
                </c:pt>
                <c:pt idx="96" formatCode="0">
                  <c:v>1</c:v>
                </c:pt>
                <c:pt idx="97" formatCode="0">
                  <c:v>1</c:v>
                </c:pt>
                <c:pt idx="98" formatCode="0">
                  <c:v>4</c:v>
                </c:pt>
                <c:pt idx="99" formatCode="0">
                  <c:v>1</c:v>
                </c:pt>
                <c:pt idx="100" formatCode="0">
                  <c:v>1</c:v>
                </c:pt>
                <c:pt idx="101" formatCode="0">
                  <c:v>1</c:v>
                </c:pt>
                <c:pt idx="102" formatCode="0">
                  <c:v>2</c:v>
                </c:pt>
                <c:pt idx="103" formatCode="0">
                  <c:v>1</c:v>
                </c:pt>
                <c:pt idx="104" formatCode="0">
                  <c:v>1</c:v>
                </c:pt>
                <c:pt idx="105" formatCode="0">
                  <c:v>1</c:v>
                </c:pt>
                <c:pt idx="106" formatCode="0">
                  <c:v>1</c:v>
                </c:pt>
                <c:pt idx="107" formatCode="0">
                  <c:v>1</c:v>
                </c:pt>
                <c:pt idx="108" formatCode="0">
                  <c:v>1</c:v>
                </c:pt>
                <c:pt idx="109" formatCode="0">
                  <c:v>1</c:v>
                </c:pt>
                <c:pt idx="110" formatCode="0">
                  <c:v>1</c:v>
                </c:pt>
                <c:pt idx="111" formatCode="0">
                  <c:v>11</c:v>
                </c:pt>
                <c:pt idx="112" formatCode="0">
                  <c:v>11</c:v>
                </c:pt>
                <c:pt idx="113" formatCode="0">
                  <c:v>4</c:v>
                </c:pt>
                <c:pt idx="114" formatCode="0">
                  <c:v>10</c:v>
                </c:pt>
                <c:pt idx="115" formatCode="0">
                  <c:v>24</c:v>
                </c:pt>
                <c:pt idx="116" formatCode="0">
                  <c:v>60</c:v>
                </c:pt>
                <c:pt idx="117" formatCode="0">
                  <c:v>1</c:v>
                </c:pt>
                <c:pt idx="118" formatCode="0">
                  <c:v>2</c:v>
                </c:pt>
                <c:pt idx="119" formatCode="0">
                  <c:v>10</c:v>
                </c:pt>
                <c:pt idx="120" formatCode="0">
                  <c:v>1</c:v>
                </c:pt>
                <c:pt idx="121" formatCode="0">
                  <c:v>1</c:v>
                </c:pt>
                <c:pt idx="122" formatCode="0">
                  <c:v>1</c:v>
                </c:pt>
                <c:pt idx="123" formatCode="0">
                  <c:v>1</c:v>
                </c:pt>
                <c:pt idx="155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2C-48C1-8724-CAFA6819487D}"/>
            </c:ext>
          </c:extLst>
        </c:ser>
        <c:ser>
          <c:idx val="7"/>
          <c:order val="7"/>
          <c:tx>
            <c:strRef>
              <c:f>Lançamentos!$P$2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Lançamentos!$P$3:$P$158</c:f>
              <c:numCache>
                <c:formatCode>General</c:formatCode>
                <c:ptCount val="156"/>
                <c:pt idx="0">
                  <c:v>0</c:v>
                </c:pt>
                <c:pt idx="1">
                  <c:v>1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1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1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1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1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1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1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1</c:v>
                </c:pt>
                <c:pt idx="57" formatCode="0">
                  <c:v>1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1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2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2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2C-48C1-8724-CAFA6819487D}"/>
            </c:ext>
          </c:extLst>
        </c:ser>
        <c:ser>
          <c:idx val="8"/>
          <c:order val="8"/>
          <c:tx>
            <c:strRef>
              <c:f>Lançamentos!$Q$2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Lançamentos!$Q$3:$Q$158</c:f>
              <c:numCache>
                <c:formatCode>General</c:formatCode>
                <c:ptCount val="156"/>
                <c:pt idx="0">
                  <c:v>0</c:v>
                </c:pt>
                <c:pt idx="1">
                  <c:v>1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1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1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1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1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1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1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1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2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2C-48C1-8724-CAFA6819487D}"/>
            </c:ext>
          </c:extLst>
        </c:ser>
        <c:ser>
          <c:idx val="9"/>
          <c:order val="9"/>
          <c:tx>
            <c:strRef>
              <c:f>Lançamentos!$R$2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Lançamentos!$R$3:$R$158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2C-48C1-8724-CAFA6819487D}"/>
            </c:ext>
          </c:extLst>
        </c:ser>
        <c:ser>
          <c:idx val="10"/>
          <c:order val="10"/>
          <c:tx>
            <c:strRef>
              <c:f>Lançamentos!$S$2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Lançamentos!$S$3:$S$158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2C-48C1-8724-CAFA6819487D}"/>
            </c:ext>
          </c:extLst>
        </c:ser>
        <c:ser>
          <c:idx val="11"/>
          <c:order val="11"/>
          <c:tx>
            <c:strRef>
              <c:f>Lançamentos!$T$2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Lançamentos!$T$3:$T$158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62C-48C1-8724-CAFA6819487D}"/>
            </c:ext>
          </c:extLst>
        </c:ser>
        <c:ser>
          <c:idx val="12"/>
          <c:order val="12"/>
          <c:tx>
            <c:strRef>
              <c:f>Lançamentos!$U$2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Lançamentos!$U$3:$U$158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1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2C-48C1-8724-CAFA6819487D}"/>
            </c:ext>
          </c:extLst>
        </c:ser>
        <c:ser>
          <c:idx val="13"/>
          <c:order val="13"/>
          <c:tx>
            <c:strRef>
              <c:f>Lançamentos!$V$2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Lançamentos!$V$3:$V$158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1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62C-48C1-8724-CAFA6819487D}"/>
            </c:ext>
          </c:extLst>
        </c:ser>
        <c:ser>
          <c:idx val="14"/>
          <c:order val="14"/>
          <c:tx>
            <c:strRef>
              <c:f>Lançamentos!$W$2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Lançamentos!$W$3:$W$158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62C-48C1-8724-CAFA6819487D}"/>
            </c:ext>
          </c:extLst>
        </c:ser>
        <c:ser>
          <c:idx val="15"/>
          <c:order val="15"/>
          <c:tx>
            <c:strRef>
              <c:f>Lançamentos!$X$2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Lançamentos!$X$3:$X$158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62C-48C1-8724-CAFA6819487D}"/>
            </c:ext>
          </c:extLst>
        </c:ser>
        <c:ser>
          <c:idx val="16"/>
          <c:order val="16"/>
          <c:tx>
            <c:strRef>
              <c:f>Lançamentos!$Y$2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Lançamentos!$Y$3:$Y$158</c:f>
              <c:numCache>
                <c:formatCode>General</c:formatCode>
                <c:ptCount val="156"/>
                <c:pt idx="0">
                  <c:v>0</c:v>
                </c:pt>
                <c:pt idx="1">
                  <c:v>1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1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1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1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1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1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1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1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62C-48C1-8724-CAFA6819487D}"/>
            </c:ext>
          </c:extLst>
        </c:ser>
        <c:ser>
          <c:idx val="17"/>
          <c:order val="17"/>
          <c:tx>
            <c:strRef>
              <c:f>Lançamentos!$Z$2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Lançamentos!$Z$3:$Z$158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1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62C-48C1-8724-CAFA6819487D}"/>
            </c:ext>
          </c:extLst>
        </c:ser>
        <c:ser>
          <c:idx val="18"/>
          <c:order val="18"/>
          <c:tx>
            <c:strRef>
              <c:f>Lançamentos!$AA$2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Lançamentos!$AA$3:$AA$158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62C-48C1-8724-CAFA6819487D}"/>
            </c:ext>
          </c:extLst>
        </c:ser>
        <c:ser>
          <c:idx val="19"/>
          <c:order val="19"/>
          <c:tx>
            <c:strRef>
              <c:f>Lançamentos!$AB$2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Lançamentos!$AB$3:$AB$158</c:f>
              <c:numCache>
                <c:formatCode>m/d/yyyy</c:formatCode>
                <c:ptCount val="156"/>
                <c:pt idx="0" formatCode="General">
                  <c:v>0</c:v>
                </c:pt>
                <c:pt idx="1">
                  <c:v>45597</c:v>
                </c:pt>
                <c:pt idx="2" formatCode="@">
                  <c:v>0</c:v>
                </c:pt>
                <c:pt idx="3" formatCode="@">
                  <c:v>0</c:v>
                </c:pt>
                <c:pt idx="4" formatCode="@">
                  <c:v>0</c:v>
                </c:pt>
                <c:pt idx="5" formatCode="@">
                  <c:v>0</c:v>
                </c:pt>
                <c:pt idx="6" formatCode="@">
                  <c:v>0</c:v>
                </c:pt>
                <c:pt idx="7" formatCode="@">
                  <c:v>0</c:v>
                </c:pt>
                <c:pt idx="8" formatCode="@">
                  <c:v>0</c:v>
                </c:pt>
                <c:pt idx="9" formatCode="@">
                  <c:v>0</c:v>
                </c:pt>
                <c:pt idx="10" formatCode="@">
                  <c:v>0</c:v>
                </c:pt>
                <c:pt idx="11" formatCode="@">
                  <c:v>0</c:v>
                </c:pt>
                <c:pt idx="12" formatCode="@">
                  <c:v>0</c:v>
                </c:pt>
                <c:pt idx="13" formatCode="@">
                  <c:v>0</c:v>
                </c:pt>
                <c:pt idx="14" formatCode="@">
                  <c:v>0</c:v>
                </c:pt>
                <c:pt idx="15" formatCode="@">
                  <c:v>0</c:v>
                </c:pt>
                <c:pt idx="16" formatCode="@">
                  <c:v>0</c:v>
                </c:pt>
                <c:pt idx="17" formatCode="@">
                  <c:v>0</c:v>
                </c:pt>
                <c:pt idx="18" formatCode="@">
                  <c:v>0</c:v>
                </c:pt>
                <c:pt idx="19" formatCode="@">
                  <c:v>0</c:v>
                </c:pt>
                <c:pt idx="21" formatCode="@">
                  <c:v>0</c:v>
                </c:pt>
                <c:pt idx="22" formatCode="@">
                  <c:v>0</c:v>
                </c:pt>
                <c:pt idx="23" formatCode="@">
                  <c:v>0</c:v>
                </c:pt>
                <c:pt idx="24" formatCode="@">
                  <c:v>0</c:v>
                </c:pt>
                <c:pt idx="25" formatCode="@">
                  <c:v>0</c:v>
                </c:pt>
                <c:pt idx="26" formatCode="@">
                  <c:v>0</c:v>
                </c:pt>
                <c:pt idx="27" formatCode="@">
                  <c:v>0</c:v>
                </c:pt>
                <c:pt idx="28" formatCode="@">
                  <c:v>0</c:v>
                </c:pt>
                <c:pt idx="29" formatCode="@">
                  <c:v>0</c:v>
                </c:pt>
                <c:pt idx="30" formatCode="@">
                  <c:v>0</c:v>
                </c:pt>
                <c:pt idx="31" formatCode="@">
                  <c:v>0</c:v>
                </c:pt>
                <c:pt idx="32" formatCode="@">
                  <c:v>0</c:v>
                </c:pt>
                <c:pt idx="33" formatCode="@">
                  <c:v>0</c:v>
                </c:pt>
                <c:pt idx="34" formatCode="@">
                  <c:v>0</c:v>
                </c:pt>
                <c:pt idx="35" formatCode="@">
                  <c:v>0</c:v>
                </c:pt>
                <c:pt idx="36" formatCode="@">
                  <c:v>0</c:v>
                </c:pt>
                <c:pt idx="37" formatCode="@">
                  <c:v>0</c:v>
                </c:pt>
                <c:pt idx="38" formatCode="@">
                  <c:v>0</c:v>
                </c:pt>
                <c:pt idx="39" formatCode="@">
                  <c:v>0</c:v>
                </c:pt>
                <c:pt idx="40" formatCode="@">
                  <c:v>0</c:v>
                </c:pt>
                <c:pt idx="41" formatCode="@">
                  <c:v>0</c:v>
                </c:pt>
                <c:pt idx="42" formatCode="@">
                  <c:v>0</c:v>
                </c:pt>
                <c:pt idx="43" formatCode="@">
                  <c:v>0</c:v>
                </c:pt>
                <c:pt idx="44" formatCode="@">
                  <c:v>0</c:v>
                </c:pt>
                <c:pt idx="45" formatCode="@">
                  <c:v>0</c:v>
                </c:pt>
                <c:pt idx="46" formatCode="@">
                  <c:v>0</c:v>
                </c:pt>
                <c:pt idx="47" formatCode="@">
                  <c:v>0</c:v>
                </c:pt>
                <c:pt idx="48" formatCode="@">
                  <c:v>0</c:v>
                </c:pt>
                <c:pt idx="49" formatCode="@">
                  <c:v>0</c:v>
                </c:pt>
                <c:pt idx="50" formatCode="@">
                  <c:v>0</c:v>
                </c:pt>
                <c:pt idx="51" formatCode="@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  <c:pt idx="61" formatCode="@">
                  <c:v>0</c:v>
                </c:pt>
                <c:pt idx="62" formatCode="@">
                  <c:v>0</c:v>
                </c:pt>
                <c:pt idx="63" formatCode="@">
                  <c:v>0</c:v>
                </c:pt>
                <c:pt idx="67" formatCode="@">
                  <c:v>0</c:v>
                </c:pt>
                <c:pt idx="68" formatCode="@">
                  <c:v>0</c:v>
                </c:pt>
                <c:pt idx="69" formatCode="@">
                  <c:v>0</c:v>
                </c:pt>
                <c:pt idx="70" formatCode="@">
                  <c:v>0</c:v>
                </c:pt>
                <c:pt idx="71" formatCode="@">
                  <c:v>0</c:v>
                </c:pt>
                <c:pt idx="73" formatCode="@">
                  <c:v>0</c:v>
                </c:pt>
                <c:pt idx="74" formatCode="@">
                  <c:v>0</c:v>
                </c:pt>
                <c:pt idx="75" formatCode="@">
                  <c:v>0</c:v>
                </c:pt>
                <c:pt idx="76" formatCode="@">
                  <c:v>0</c:v>
                </c:pt>
                <c:pt idx="77" formatCode="@">
                  <c:v>0</c:v>
                </c:pt>
                <c:pt idx="78" formatCode="@">
                  <c:v>0</c:v>
                </c:pt>
                <c:pt idx="81" formatCode="@">
                  <c:v>0</c:v>
                </c:pt>
                <c:pt idx="82" formatCode="@">
                  <c:v>0</c:v>
                </c:pt>
                <c:pt idx="83" formatCode="@">
                  <c:v>0</c:v>
                </c:pt>
                <c:pt idx="84" formatCode="@">
                  <c:v>0</c:v>
                </c:pt>
                <c:pt idx="85" formatCode="@">
                  <c:v>0</c:v>
                </c:pt>
                <c:pt idx="86" formatCode="@">
                  <c:v>0</c:v>
                </c:pt>
                <c:pt idx="87" formatCode="@">
                  <c:v>0</c:v>
                </c:pt>
                <c:pt idx="88" formatCode="@">
                  <c:v>0</c:v>
                </c:pt>
                <c:pt idx="89" formatCode="@">
                  <c:v>0</c:v>
                </c:pt>
                <c:pt idx="90" formatCode="@">
                  <c:v>0</c:v>
                </c:pt>
                <c:pt idx="91" formatCode="@">
                  <c:v>0</c:v>
                </c:pt>
                <c:pt idx="92" formatCode="@">
                  <c:v>0</c:v>
                </c:pt>
                <c:pt idx="93" formatCode="@">
                  <c:v>0</c:v>
                </c:pt>
                <c:pt idx="94" formatCode="@">
                  <c:v>0</c:v>
                </c:pt>
                <c:pt idx="95" formatCode="@">
                  <c:v>0</c:v>
                </c:pt>
                <c:pt idx="96" formatCode="@">
                  <c:v>0</c:v>
                </c:pt>
                <c:pt idx="97" formatCode="@">
                  <c:v>0</c:v>
                </c:pt>
                <c:pt idx="98" formatCode="@">
                  <c:v>0</c:v>
                </c:pt>
                <c:pt idx="99" formatCode="@">
                  <c:v>0</c:v>
                </c:pt>
                <c:pt idx="100" formatCode="@">
                  <c:v>0</c:v>
                </c:pt>
                <c:pt idx="101" formatCode="@">
                  <c:v>0</c:v>
                </c:pt>
                <c:pt idx="102" formatCode="@">
                  <c:v>0</c:v>
                </c:pt>
                <c:pt idx="103" formatCode="@">
                  <c:v>0</c:v>
                </c:pt>
                <c:pt idx="104" formatCode="@">
                  <c:v>0</c:v>
                </c:pt>
                <c:pt idx="105" formatCode="@">
                  <c:v>0</c:v>
                </c:pt>
                <c:pt idx="106" formatCode="@">
                  <c:v>0</c:v>
                </c:pt>
                <c:pt idx="107" formatCode="@">
                  <c:v>0</c:v>
                </c:pt>
                <c:pt idx="108" formatCode="@">
                  <c:v>0</c:v>
                </c:pt>
                <c:pt idx="109" formatCode="@">
                  <c:v>0</c:v>
                </c:pt>
                <c:pt idx="110" formatCode="@">
                  <c:v>0</c:v>
                </c:pt>
                <c:pt idx="111" formatCode="@">
                  <c:v>0</c:v>
                </c:pt>
                <c:pt idx="112" formatCode="@">
                  <c:v>0</c:v>
                </c:pt>
                <c:pt idx="113" formatCode="@">
                  <c:v>0</c:v>
                </c:pt>
                <c:pt idx="114" formatCode="@">
                  <c:v>0</c:v>
                </c:pt>
                <c:pt idx="115" formatCode="@">
                  <c:v>0</c:v>
                </c:pt>
                <c:pt idx="116" formatCode="@">
                  <c:v>0</c:v>
                </c:pt>
                <c:pt idx="117" formatCode="@">
                  <c:v>0</c:v>
                </c:pt>
                <c:pt idx="118" formatCode="@">
                  <c:v>0</c:v>
                </c:pt>
                <c:pt idx="119" formatCode="@">
                  <c:v>0</c:v>
                </c:pt>
                <c:pt idx="120" formatCode="@">
                  <c:v>0</c:v>
                </c:pt>
                <c:pt idx="121" formatCode="@">
                  <c:v>0</c:v>
                </c:pt>
                <c:pt idx="122" formatCode="@">
                  <c:v>0</c:v>
                </c:pt>
                <c:pt idx="12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62C-48C1-8724-CAFA6819487D}"/>
            </c:ext>
          </c:extLst>
        </c:ser>
        <c:ser>
          <c:idx val="20"/>
          <c:order val="20"/>
          <c:tx>
            <c:strRef>
              <c:f>Lançamentos!$AC$2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Lançamentos!$AC$3:$AC$158</c:f>
              <c:numCache>
                <c:formatCode>m/d/yyyy</c:formatCode>
                <c:ptCount val="156"/>
                <c:pt idx="0" formatCode="General">
                  <c:v>0</c:v>
                </c:pt>
                <c:pt idx="1">
                  <c:v>45597</c:v>
                </c:pt>
                <c:pt idx="2" formatCode="@">
                  <c:v>0</c:v>
                </c:pt>
                <c:pt idx="3" formatCode="@">
                  <c:v>0</c:v>
                </c:pt>
                <c:pt idx="4" formatCode="@">
                  <c:v>0</c:v>
                </c:pt>
                <c:pt idx="5" formatCode="@">
                  <c:v>0</c:v>
                </c:pt>
                <c:pt idx="6" formatCode="@">
                  <c:v>0</c:v>
                </c:pt>
                <c:pt idx="7" formatCode="@">
                  <c:v>0</c:v>
                </c:pt>
                <c:pt idx="8" formatCode="@">
                  <c:v>0</c:v>
                </c:pt>
                <c:pt idx="9" formatCode="@">
                  <c:v>0</c:v>
                </c:pt>
                <c:pt idx="10" formatCode="@">
                  <c:v>0</c:v>
                </c:pt>
                <c:pt idx="11" formatCode="@">
                  <c:v>0</c:v>
                </c:pt>
                <c:pt idx="12" formatCode="@">
                  <c:v>0</c:v>
                </c:pt>
                <c:pt idx="13" formatCode="@">
                  <c:v>0</c:v>
                </c:pt>
                <c:pt idx="14" formatCode="@">
                  <c:v>0</c:v>
                </c:pt>
                <c:pt idx="15" formatCode="@">
                  <c:v>0</c:v>
                </c:pt>
                <c:pt idx="16" formatCode="@">
                  <c:v>0</c:v>
                </c:pt>
                <c:pt idx="17" formatCode="@">
                  <c:v>0</c:v>
                </c:pt>
                <c:pt idx="18" formatCode="@">
                  <c:v>0</c:v>
                </c:pt>
                <c:pt idx="19" formatCode="@">
                  <c:v>0</c:v>
                </c:pt>
                <c:pt idx="20" formatCode="@">
                  <c:v>0</c:v>
                </c:pt>
                <c:pt idx="21" formatCode="@">
                  <c:v>0</c:v>
                </c:pt>
                <c:pt idx="22" formatCode="@">
                  <c:v>0</c:v>
                </c:pt>
                <c:pt idx="23" formatCode="@">
                  <c:v>0</c:v>
                </c:pt>
                <c:pt idx="24" formatCode="@">
                  <c:v>0</c:v>
                </c:pt>
                <c:pt idx="25" formatCode="@">
                  <c:v>0</c:v>
                </c:pt>
                <c:pt idx="26" formatCode="@">
                  <c:v>0</c:v>
                </c:pt>
                <c:pt idx="27" formatCode="@">
                  <c:v>0</c:v>
                </c:pt>
                <c:pt idx="28" formatCode="@">
                  <c:v>0</c:v>
                </c:pt>
                <c:pt idx="29" formatCode="@">
                  <c:v>0</c:v>
                </c:pt>
                <c:pt idx="30" formatCode="@">
                  <c:v>0</c:v>
                </c:pt>
                <c:pt idx="31" formatCode="@">
                  <c:v>0</c:v>
                </c:pt>
                <c:pt idx="32" formatCode="@">
                  <c:v>0</c:v>
                </c:pt>
                <c:pt idx="33" formatCode="@">
                  <c:v>0</c:v>
                </c:pt>
                <c:pt idx="34" formatCode="@">
                  <c:v>0</c:v>
                </c:pt>
                <c:pt idx="35" formatCode="@">
                  <c:v>0</c:v>
                </c:pt>
                <c:pt idx="36" formatCode="@">
                  <c:v>0</c:v>
                </c:pt>
                <c:pt idx="37" formatCode="@">
                  <c:v>0</c:v>
                </c:pt>
                <c:pt idx="38" formatCode="@">
                  <c:v>0</c:v>
                </c:pt>
                <c:pt idx="39" formatCode="@">
                  <c:v>0</c:v>
                </c:pt>
                <c:pt idx="40" formatCode="@">
                  <c:v>0</c:v>
                </c:pt>
                <c:pt idx="41" formatCode="@">
                  <c:v>0</c:v>
                </c:pt>
                <c:pt idx="42" formatCode="@">
                  <c:v>0</c:v>
                </c:pt>
                <c:pt idx="43" formatCode="@">
                  <c:v>0</c:v>
                </c:pt>
                <c:pt idx="44" formatCode="@">
                  <c:v>0</c:v>
                </c:pt>
                <c:pt idx="45" formatCode="@">
                  <c:v>0</c:v>
                </c:pt>
                <c:pt idx="46" formatCode="@">
                  <c:v>0</c:v>
                </c:pt>
                <c:pt idx="47" formatCode="@">
                  <c:v>0</c:v>
                </c:pt>
                <c:pt idx="48" formatCode="@">
                  <c:v>0</c:v>
                </c:pt>
                <c:pt idx="49" formatCode="@">
                  <c:v>0</c:v>
                </c:pt>
                <c:pt idx="50" formatCode="@">
                  <c:v>0</c:v>
                </c:pt>
                <c:pt idx="51" formatCode="@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  <c:pt idx="61" formatCode="@">
                  <c:v>0</c:v>
                </c:pt>
                <c:pt idx="62" formatCode="@">
                  <c:v>0</c:v>
                </c:pt>
                <c:pt idx="63" formatCode="@">
                  <c:v>0</c:v>
                </c:pt>
                <c:pt idx="67" formatCode="@">
                  <c:v>0</c:v>
                </c:pt>
                <c:pt idx="68" formatCode="@">
                  <c:v>0</c:v>
                </c:pt>
                <c:pt idx="69" formatCode="@">
                  <c:v>0</c:v>
                </c:pt>
                <c:pt idx="70" formatCode="@">
                  <c:v>0</c:v>
                </c:pt>
                <c:pt idx="71" formatCode="@">
                  <c:v>0</c:v>
                </c:pt>
                <c:pt idx="73" formatCode="@">
                  <c:v>0</c:v>
                </c:pt>
                <c:pt idx="74" formatCode="@">
                  <c:v>0</c:v>
                </c:pt>
                <c:pt idx="75" formatCode="@">
                  <c:v>0</c:v>
                </c:pt>
                <c:pt idx="76" formatCode="@">
                  <c:v>0</c:v>
                </c:pt>
                <c:pt idx="77" formatCode="@">
                  <c:v>0</c:v>
                </c:pt>
                <c:pt idx="78" formatCode="@">
                  <c:v>0</c:v>
                </c:pt>
                <c:pt idx="81" formatCode="@">
                  <c:v>0</c:v>
                </c:pt>
                <c:pt idx="82" formatCode="@">
                  <c:v>0</c:v>
                </c:pt>
                <c:pt idx="83" formatCode="@">
                  <c:v>0</c:v>
                </c:pt>
                <c:pt idx="84" formatCode="@">
                  <c:v>0</c:v>
                </c:pt>
                <c:pt idx="85" formatCode="@">
                  <c:v>0</c:v>
                </c:pt>
                <c:pt idx="86" formatCode="@">
                  <c:v>0</c:v>
                </c:pt>
                <c:pt idx="87" formatCode="@">
                  <c:v>0</c:v>
                </c:pt>
                <c:pt idx="88" formatCode="@">
                  <c:v>0</c:v>
                </c:pt>
                <c:pt idx="89" formatCode="@">
                  <c:v>0</c:v>
                </c:pt>
                <c:pt idx="90" formatCode="@">
                  <c:v>0</c:v>
                </c:pt>
                <c:pt idx="91" formatCode="@">
                  <c:v>0</c:v>
                </c:pt>
                <c:pt idx="92" formatCode="@">
                  <c:v>0</c:v>
                </c:pt>
                <c:pt idx="93" formatCode="@">
                  <c:v>0</c:v>
                </c:pt>
                <c:pt idx="94" formatCode="@">
                  <c:v>0</c:v>
                </c:pt>
                <c:pt idx="95" formatCode="@">
                  <c:v>0</c:v>
                </c:pt>
                <c:pt idx="96" formatCode="@">
                  <c:v>0</c:v>
                </c:pt>
                <c:pt idx="97" formatCode="@">
                  <c:v>0</c:v>
                </c:pt>
                <c:pt idx="98" formatCode="@">
                  <c:v>0</c:v>
                </c:pt>
                <c:pt idx="99" formatCode="@">
                  <c:v>0</c:v>
                </c:pt>
                <c:pt idx="100" formatCode="@">
                  <c:v>0</c:v>
                </c:pt>
                <c:pt idx="101" formatCode="@">
                  <c:v>0</c:v>
                </c:pt>
                <c:pt idx="102" formatCode="@">
                  <c:v>0</c:v>
                </c:pt>
                <c:pt idx="103" formatCode="@">
                  <c:v>0</c:v>
                </c:pt>
                <c:pt idx="104" formatCode="@">
                  <c:v>0</c:v>
                </c:pt>
                <c:pt idx="105" formatCode="@">
                  <c:v>0</c:v>
                </c:pt>
                <c:pt idx="106" formatCode="@">
                  <c:v>0</c:v>
                </c:pt>
                <c:pt idx="107" formatCode="@">
                  <c:v>0</c:v>
                </c:pt>
                <c:pt idx="108" formatCode="@">
                  <c:v>0</c:v>
                </c:pt>
                <c:pt idx="109" formatCode="@">
                  <c:v>0</c:v>
                </c:pt>
                <c:pt idx="110" formatCode="@">
                  <c:v>0</c:v>
                </c:pt>
                <c:pt idx="111" formatCode="@">
                  <c:v>0</c:v>
                </c:pt>
                <c:pt idx="112" formatCode="@">
                  <c:v>0</c:v>
                </c:pt>
                <c:pt idx="113" formatCode="@">
                  <c:v>0</c:v>
                </c:pt>
                <c:pt idx="114" formatCode="@">
                  <c:v>0</c:v>
                </c:pt>
                <c:pt idx="115" formatCode="@">
                  <c:v>0</c:v>
                </c:pt>
                <c:pt idx="116" formatCode="@">
                  <c:v>0</c:v>
                </c:pt>
                <c:pt idx="117" formatCode="@">
                  <c:v>0</c:v>
                </c:pt>
                <c:pt idx="118" formatCode="@">
                  <c:v>0</c:v>
                </c:pt>
                <c:pt idx="119" formatCode="@">
                  <c:v>0</c:v>
                </c:pt>
                <c:pt idx="120" formatCode="@">
                  <c:v>0</c:v>
                </c:pt>
                <c:pt idx="121" formatCode="@">
                  <c:v>0</c:v>
                </c:pt>
                <c:pt idx="122" formatCode="@">
                  <c:v>0</c:v>
                </c:pt>
                <c:pt idx="12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62C-48C1-8724-CAFA6819487D}"/>
            </c:ext>
          </c:extLst>
        </c:ser>
        <c:ser>
          <c:idx val="21"/>
          <c:order val="21"/>
          <c:tx>
            <c:strRef>
              <c:f>Lançamentos!$AD$2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Lançamentos!$AD$3:$AD$158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3" formatCode="0.00">
                  <c:v>0</c:v>
                </c:pt>
                <c:pt idx="74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  <c:pt idx="120" formatCode="0.00">
                  <c:v>0</c:v>
                </c:pt>
                <c:pt idx="121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62C-48C1-8724-CAFA6819487D}"/>
            </c:ext>
          </c:extLst>
        </c:ser>
        <c:ser>
          <c:idx val="22"/>
          <c:order val="22"/>
          <c:tx>
            <c:strRef>
              <c:f>Lançamentos!$AE$2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Lançamentos!$AE$3:$AE$158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  <c:pt idx="22" formatCode="0.00">
                  <c:v>0</c:v>
                </c:pt>
                <c:pt idx="23" formatCode="0.00">
                  <c:v>0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8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1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48" formatCode="0.00">
                  <c:v>0</c:v>
                </c:pt>
                <c:pt idx="49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2" formatCode="0.00">
                  <c:v>0</c:v>
                </c:pt>
                <c:pt idx="53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3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3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1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8" formatCode="0.00">
                  <c:v>0</c:v>
                </c:pt>
                <c:pt idx="99" formatCode="0.00">
                  <c:v>0</c:v>
                </c:pt>
                <c:pt idx="100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2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5" formatCode="0.00">
                  <c:v>0</c:v>
                </c:pt>
                <c:pt idx="116" formatCode="0.00">
                  <c:v>0</c:v>
                </c:pt>
                <c:pt idx="117" formatCode="0.00">
                  <c:v>0</c:v>
                </c:pt>
                <c:pt idx="118" formatCode="0.00">
                  <c:v>0</c:v>
                </c:pt>
                <c:pt idx="119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62C-48C1-8724-CAFA6819487D}"/>
            </c:ext>
          </c:extLst>
        </c:ser>
        <c:ser>
          <c:idx val="23"/>
          <c:order val="23"/>
          <c:tx>
            <c:strRef>
              <c:f>Lançamentos!$AF$2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Lançamentos!$AF$3:$AF$158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7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21" formatCode="0.00">
                  <c:v>0</c:v>
                </c:pt>
                <c:pt idx="24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30" formatCode="0.00">
                  <c:v>0</c:v>
                </c:pt>
                <c:pt idx="32" formatCode="0.00">
                  <c:v>0</c:v>
                </c:pt>
                <c:pt idx="33" formatCode="0.00">
                  <c:v>0</c:v>
                </c:pt>
                <c:pt idx="34" formatCode="0.00">
                  <c:v>0</c:v>
                </c:pt>
                <c:pt idx="35" formatCode="0.00">
                  <c:v>0</c:v>
                </c:pt>
                <c:pt idx="36" formatCode="0.00">
                  <c:v>0</c:v>
                </c:pt>
                <c:pt idx="37" formatCode="0.00">
                  <c:v>0</c:v>
                </c:pt>
                <c:pt idx="39" formatCode="0.00">
                  <c:v>0</c:v>
                </c:pt>
                <c:pt idx="40" formatCode="0.00">
                  <c:v>0</c:v>
                </c:pt>
                <c:pt idx="42" formatCode="0.00">
                  <c:v>0</c:v>
                </c:pt>
                <c:pt idx="43" formatCode="0.00">
                  <c:v>0</c:v>
                </c:pt>
                <c:pt idx="44" formatCode="0.00">
                  <c:v>0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0</c:v>
                </c:pt>
                <c:pt idx="50" formatCode="0.00">
                  <c:v>0</c:v>
                </c:pt>
                <c:pt idx="51" formatCode="0.00">
                  <c:v>0</c:v>
                </c:pt>
                <c:pt idx="54" formatCode="0.00">
                  <c:v>0</c:v>
                </c:pt>
                <c:pt idx="55" formatCode="0.00">
                  <c:v>0</c:v>
                </c:pt>
                <c:pt idx="56" formatCode="0.00">
                  <c:v>0</c:v>
                </c:pt>
                <c:pt idx="57" formatCode="0.00">
                  <c:v>0</c:v>
                </c:pt>
                <c:pt idx="58" formatCode="0.00">
                  <c:v>0</c:v>
                </c:pt>
                <c:pt idx="59" formatCode="0.00">
                  <c:v>0</c:v>
                </c:pt>
                <c:pt idx="60" formatCode="0.00">
                  <c:v>0</c:v>
                </c:pt>
                <c:pt idx="61" formatCode="0.00">
                  <c:v>0</c:v>
                </c:pt>
                <c:pt idx="62" formatCode="0.00">
                  <c:v>0</c:v>
                </c:pt>
                <c:pt idx="66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0</c:v>
                </c:pt>
                <c:pt idx="71" formatCode="0.00">
                  <c:v>0</c:v>
                </c:pt>
                <c:pt idx="75" formatCode="0.00">
                  <c:v>0</c:v>
                </c:pt>
                <c:pt idx="76" formatCode="0.00">
                  <c:v>0</c:v>
                </c:pt>
                <c:pt idx="77" formatCode="0.00">
                  <c:v>0</c:v>
                </c:pt>
                <c:pt idx="78" formatCode="0.00">
                  <c:v>0</c:v>
                </c:pt>
                <c:pt idx="79" formatCode="0.00">
                  <c:v>0</c:v>
                </c:pt>
                <c:pt idx="80" formatCode="0.00">
                  <c:v>0</c:v>
                </c:pt>
                <c:pt idx="82" formatCode="0.00">
                  <c:v>0</c:v>
                </c:pt>
                <c:pt idx="83" formatCode="0.00">
                  <c:v>0</c:v>
                </c:pt>
                <c:pt idx="84" formatCode="0.00">
                  <c:v>0</c:v>
                </c:pt>
                <c:pt idx="85" formatCode="0.00">
                  <c:v>0</c:v>
                </c:pt>
                <c:pt idx="86" formatCode="0.00">
                  <c:v>0</c:v>
                </c:pt>
                <c:pt idx="87" formatCode="0.00">
                  <c:v>0</c:v>
                </c:pt>
                <c:pt idx="88" formatCode="0.00">
                  <c:v>0</c:v>
                </c:pt>
                <c:pt idx="89" formatCode="0.00">
                  <c:v>0</c:v>
                </c:pt>
                <c:pt idx="90" formatCode="0.00">
                  <c:v>0</c:v>
                </c:pt>
                <c:pt idx="91" formatCode="0.00">
                  <c:v>0</c:v>
                </c:pt>
                <c:pt idx="92" formatCode="0.00">
                  <c:v>0</c:v>
                </c:pt>
                <c:pt idx="93" formatCode="0.00">
                  <c:v>0</c:v>
                </c:pt>
                <c:pt idx="94" formatCode="0.00">
                  <c:v>0</c:v>
                </c:pt>
                <c:pt idx="95" formatCode="0.00">
                  <c:v>0</c:v>
                </c:pt>
                <c:pt idx="96" formatCode="0.00">
                  <c:v>0</c:v>
                </c:pt>
                <c:pt idx="97" formatCode="0.00">
                  <c:v>0</c:v>
                </c:pt>
                <c:pt idx="99" formatCode="0.00">
                  <c:v>0</c:v>
                </c:pt>
                <c:pt idx="101" formatCode="0.00">
                  <c:v>0</c:v>
                </c:pt>
                <c:pt idx="102" formatCode="0.00">
                  <c:v>0</c:v>
                </c:pt>
                <c:pt idx="103" formatCode="0.00">
                  <c:v>0</c:v>
                </c:pt>
                <c:pt idx="104" formatCode="0.00">
                  <c:v>0</c:v>
                </c:pt>
                <c:pt idx="105" formatCode="0.00">
                  <c:v>0</c:v>
                </c:pt>
                <c:pt idx="106" formatCode="0.00">
                  <c:v>0</c:v>
                </c:pt>
                <c:pt idx="107" formatCode="0.00">
                  <c:v>0</c:v>
                </c:pt>
                <c:pt idx="108" formatCode="0.00">
                  <c:v>0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0</c:v>
                </c:pt>
                <c:pt idx="113" formatCode="0.00">
                  <c:v>0</c:v>
                </c:pt>
                <c:pt idx="114" formatCode="0.00">
                  <c:v>0</c:v>
                </c:pt>
                <c:pt idx="118" formatCode="0.00">
                  <c:v>0</c:v>
                </c:pt>
                <c:pt idx="122" formatCode="0.00">
                  <c:v>0</c:v>
                </c:pt>
                <c:pt idx="123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62C-48C1-8724-CAFA6819487D}"/>
            </c:ext>
          </c:extLst>
        </c:ser>
        <c:ser>
          <c:idx val="24"/>
          <c:order val="24"/>
          <c:tx>
            <c:strRef>
              <c:f>Lançamentos!$AG$2</c:f>
              <c:strCache>
                <c:ptCount val="1"/>
                <c:pt idx="0">
                  <c:v>DASH!A1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Lançamentos!$AG$3:$AG$158</c:f>
              <c:numCache>
                <c:formatCode>General</c:formatCode>
                <c:ptCount val="156"/>
              </c:numCache>
            </c:numRef>
          </c:val>
          <c:extLst>
            <c:ext xmlns:c16="http://schemas.microsoft.com/office/drawing/2014/chart" uri="{C3380CC4-5D6E-409C-BE32-E72D297353CC}">
              <c16:uniqueId val="{00000018-362C-48C1-8724-CAFA68194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498360"/>
        <c:axId val="395498752"/>
      </c:barChart>
      <c:catAx>
        <c:axId val="395498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5498752"/>
        <c:crosses val="autoZero"/>
        <c:auto val="1"/>
        <c:lblAlgn val="ctr"/>
        <c:lblOffset val="100"/>
        <c:noMultiLvlLbl val="0"/>
      </c:catAx>
      <c:valAx>
        <c:axId val="39549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549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PEÇAS APROVADAS X PEÇAS REPROVADAS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5D-40A2-AC5D-3B6E65C051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5D-40A2-AC5D-3B6E65C051A5}"/>
              </c:ext>
            </c:extLst>
          </c:dPt>
          <c:cat>
            <c:strRef>
              <c:f>'CONFIGURAÇÃO '!$B$2:$C$2</c:f>
              <c:strCache>
                <c:ptCount val="2"/>
                <c:pt idx="0">
                  <c:v>Aprovado</c:v>
                </c:pt>
                <c:pt idx="1">
                  <c:v>Reprovado</c:v>
                </c:pt>
              </c:strCache>
            </c:strRef>
          </c:cat>
          <c:val>
            <c:numRef>
              <c:f>'CONFIGURAÇÃO '!$B$3:$C$3</c:f>
              <c:numCache>
                <c:formatCode>General</c:formatCode>
                <c:ptCount val="2"/>
                <c:pt idx="0">
                  <c:v>303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4-4738-AC8D-C2B483356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effectLst>
                  <a:outerShdw blurRad="50800" dist="50800" dir="5400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1"/>
                </a:solidFill>
                <a:effectLst>
                  <a:outerShdw blurRad="50800" dist="50800" dir="5400000" algn="ctr" rotWithShape="0">
                    <a:schemeClr val="tx1"/>
                  </a:outerShdw>
                </a:effectLst>
              </a:rPr>
              <a:t>SETORES</a:t>
            </a:r>
            <a:r>
              <a:rPr lang="pt-BR" baseline="0">
                <a:solidFill>
                  <a:schemeClr val="tx1"/>
                </a:solidFill>
                <a:effectLst>
                  <a:outerShdw blurRad="50800" dist="50800" dir="5400000" algn="ctr" rotWithShape="0">
                    <a:schemeClr val="tx1"/>
                  </a:outerShdw>
                </a:effectLst>
              </a:rPr>
              <a:t> ONDE HOUVE REFUGOS</a:t>
            </a:r>
            <a:endParaRPr lang="pt-BR">
              <a:solidFill>
                <a:schemeClr val="tx1"/>
              </a:solidFill>
              <a:effectLst>
                <a:outerShdw blurRad="50800" dist="50800" dir="5400000" algn="ctr" rotWithShape="0">
                  <a:schemeClr val="tx1"/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effectLst>
                <a:outerShdw blurRad="50800" dist="50800" dir="5400000" algn="ctr" rotWithShape="0">
                  <a:schemeClr val="tx1"/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'CONFIGURAÇÃO '!$D$2:$J$2</c:f>
              <c:strCache>
                <c:ptCount val="7"/>
                <c:pt idx="0">
                  <c:v>Usinagem</c:v>
                </c:pt>
                <c:pt idx="1">
                  <c:v>Inspeção</c:v>
                </c:pt>
                <c:pt idx="2">
                  <c:v>Desenho</c:v>
                </c:pt>
                <c:pt idx="3">
                  <c:v>Programação CNC</c:v>
                </c:pt>
                <c:pt idx="4">
                  <c:v>Produção</c:v>
                </c:pt>
                <c:pt idx="5">
                  <c:v>Comercial</c:v>
                </c:pt>
                <c:pt idx="6">
                  <c:v>PCP</c:v>
                </c:pt>
              </c:strCache>
            </c:strRef>
          </c:cat>
          <c:val>
            <c:numRef>
              <c:f>'CONFIGURAÇÃO '!$D$3:$J$3</c:f>
              <c:numCache>
                <c:formatCode>General</c:formatCode>
                <c:ptCount val="7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9-45C0-8DDF-63CDCBBC3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500320"/>
        <c:axId val="395501104"/>
      </c:barChart>
      <c:catAx>
        <c:axId val="39550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>
              <a:alpha val="0"/>
            </a:srgbClr>
          </a:solidFill>
          <a:ln w="9525" cap="flat" cmpd="sng" algn="ctr">
            <a:solidFill>
              <a:schemeClr val="tx1">
                <a:alpha val="98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effectLst>
                  <a:outerShdw blurRad="50800" dist="38100" dir="5400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5501104"/>
        <c:crosses val="autoZero"/>
        <c:auto val="1"/>
        <c:lblAlgn val="ctr"/>
        <c:lblOffset val="100"/>
        <c:noMultiLvlLbl val="0"/>
      </c:catAx>
      <c:valAx>
        <c:axId val="395501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95500320"/>
        <c:crosses val="autoZero"/>
        <c:crossBetween val="between"/>
      </c:valAx>
      <c:spPr>
        <a:noFill/>
        <a:ln w="25400">
          <a:noFill/>
        </a:ln>
        <a:effectLst>
          <a:outerShdw blurRad="50800" dist="50800" dir="5400000" algn="ctr" rotWithShape="0">
            <a:srgbClr val="000000">
              <a:alpha val="43137"/>
            </a:srgbClr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PEÇAS MORTAS X PEÇAS RETRABALHADAS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'CONFIGURAÇÃO '!$O$2:$P$2</c:f>
              <c:strCache>
                <c:ptCount val="2"/>
                <c:pt idx="0">
                  <c:v>Morta usin.</c:v>
                </c:pt>
                <c:pt idx="1">
                  <c:v>Retrabalho</c:v>
                </c:pt>
              </c:strCache>
            </c:strRef>
          </c:cat>
          <c:val>
            <c:numRef>
              <c:f>'CONFIGURAÇÃO '!$O$3:$P$3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1-4238-BC09-D93869351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089072"/>
        <c:axId val="4210894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'CONFIGURAÇÃO '!$O$2:$P$2</c:f>
              <c:strCache>
                <c:ptCount val="2"/>
                <c:pt idx="0">
                  <c:v>Morta usin.</c:v>
                </c:pt>
                <c:pt idx="1">
                  <c:v>Retrabalho</c:v>
                </c:pt>
              </c:strCache>
            </c:strRef>
          </c:cat>
          <c:val>
            <c:numRef>
              <c:f>'CONFIGURAÇÃO '!$O$4:$P$4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1-4238-BC09-D93869351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089072"/>
        <c:axId val="421089464"/>
      </c:lineChart>
      <c:catAx>
        <c:axId val="42108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>
                  <a:solidFill>
                    <a:sysClr val="windowText" lastClr="000000"/>
                  </a:solidFill>
                </a:ln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1089464"/>
        <c:crosses val="autoZero"/>
        <c:auto val="1"/>
        <c:lblAlgn val="ctr"/>
        <c:lblOffset val="100"/>
        <c:noMultiLvlLbl val="0"/>
      </c:catAx>
      <c:valAx>
        <c:axId val="421089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108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áfico1"/>
  <sheetViews>
    <sheetView zoomScale="71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DASH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DASH!A1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DASH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4.xml"/><Relationship Id="rId7" Type="http://schemas.openxmlformats.org/officeDocument/2006/relationships/hyperlink" Target="#'CONFIGURA&#199;&#195;O '!A1"/><Relationship Id="rId12" Type="http://schemas.openxmlformats.org/officeDocument/2006/relationships/hyperlink" Target="#'Indicadores Usinagem'!A1"/><Relationship Id="rId2" Type="http://schemas.openxmlformats.org/officeDocument/2006/relationships/chart" Target="../charts/chart3.xml"/><Relationship Id="rId1" Type="http://schemas.openxmlformats.org/officeDocument/2006/relationships/image" Target="../media/image2.jpeg"/><Relationship Id="rId6" Type="http://schemas.openxmlformats.org/officeDocument/2006/relationships/hyperlink" Target="#Observa&#231;&#245;es!A1"/><Relationship Id="rId11" Type="http://schemas.openxmlformats.org/officeDocument/2006/relationships/image" Target="../media/image6.svg"/><Relationship Id="rId5" Type="http://schemas.openxmlformats.org/officeDocument/2006/relationships/hyperlink" Target="#'PRODUTOS DE REFUGO'!A1"/><Relationship Id="rId10" Type="http://schemas.openxmlformats.org/officeDocument/2006/relationships/image" Target="../media/image5.png"/><Relationship Id="rId4" Type="http://schemas.openxmlformats.org/officeDocument/2006/relationships/hyperlink" Target="#Lan&#231;amentos!A1"/><Relationship Id="rId9" Type="http://schemas.openxmlformats.org/officeDocument/2006/relationships/image" Target="../media/image4.sv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DASH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ASH!A1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32324" cy="599672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1158240</xdr:colOff>
      <xdr:row>1</xdr:row>
      <xdr:rowOff>53340</xdr:rowOff>
    </xdr:from>
    <xdr:to>
      <xdr:col>31</xdr:col>
      <xdr:colOff>6873240</xdr:colOff>
      <xdr:row>1</xdr:row>
      <xdr:rowOff>480060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9860280" y="53340"/>
          <a:ext cx="24460200" cy="426720"/>
        </a:xfrm>
        <a:prstGeom prst="roundRect">
          <a:avLst/>
        </a:prstGeom>
        <a:solidFill>
          <a:srgbClr val="0070C0"/>
        </a:solidFill>
        <a:ln>
          <a:solidFill>
            <a:schemeClr val="bg1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800" b="1"/>
            <a:t>HOME</a:t>
          </a:r>
        </a:p>
      </xdr:txBody>
    </xdr:sp>
    <xdr:clientData/>
  </xdr:twoCellAnchor>
  <xdr:twoCellAnchor editAs="oneCell">
    <xdr:from>
      <xdr:col>0</xdr:col>
      <xdr:colOff>68037</xdr:colOff>
      <xdr:row>1</xdr:row>
      <xdr:rowOff>0</xdr:rowOff>
    </xdr:from>
    <xdr:to>
      <xdr:col>2</xdr:col>
      <xdr:colOff>468795</xdr:colOff>
      <xdr:row>1</xdr:row>
      <xdr:rowOff>681276</xdr:rowOff>
    </xdr:to>
    <xdr:pic>
      <xdr:nvPicPr>
        <xdr:cNvPr id="3" name="Imagem 2" descr="Mectrol HIWIN - Automação e Robótic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7" y="800100"/>
          <a:ext cx="2227488" cy="681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4</xdr:row>
      <xdr:rowOff>30480</xdr:rowOff>
    </xdr:from>
    <xdr:to>
      <xdr:col>3</xdr:col>
      <xdr:colOff>45720</xdr:colOff>
      <xdr:row>18</xdr:row>
      <xdr:rowOff>125730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22860</xdr:colOff>
      <xdr:row>0</xdr:row>
      <xdr:rowOff>53340</xdr:rowOff>
    </xdr:from>
    <xdr:to>
      <xdr:col>15</xdr:col>
      <xdr:colOff>922020</xdr:colOff>
      <xdr:row>0</xdr:row>
      <xdr:rowOff>495300</xdr:rowOff>
    </xdr:to>
    <xdr:sp macro="" textlink="">
      <xdr:nvSpPr>
        <xdr:cNvPr id="13" name="Retângulo: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3472160" y="53340"/>
          <a:ext cx="1508760" cy="441960"/>
        </a:xfrm>
        <a:prstGeom prst="roundRect">
          <a:avLst/>
        </a:prstGeom>
        <a:solidFill>
          <a:srgbClr val="0070C0"/>
        </a:solidFill>
        <a:ln>
          <a:solidFill>
            <a:schemeClr val="bg1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196215</xdr:colOff>
      <xdr:row>0</xdr:row>
      <xdr:rowOff>120015</xdr:rowOff>
    </xdr:from>
    <xdr:to>
      <xdr:col>30</xdr:col>
      <xdr:colOff>36195</xdr:colOff>
      <xdr:row>0</xdr:row>
      <xdr:rowOff>569595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130540" y="120015"/>
          <a:ext cx="16356330" cy="449580"/>
        </a:xfrm>
        <a:prstGeom prst="roundRect">
          <a:avLst/>
        </a:prstGeom>
        <a:solidFill>
          <a:srgbClr val="0070C0"/>
        </a:solidFill>
        <a:ln>
          <a:solidFill>
            <a:schemeClr val="bg1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800" b="1"/>
            <a:t>HOME</a:t>
          </a:r>
        </a:p>
      </xdr:txBody>
    </xdr:sp>
    <xdr:clientData/>
  </xdr:twoCellAnchor>
  <xdr:twoCellAnchor editAs="oneCell">
    <xdr:from>
      <xdr:col>0</xdr:col>
      <xdr:colOff>161925</xdr:colOff>
      <xdr:row>0</xdr:row>
      <xdr:rowOff>0</xdr:rowOff>
    </xdr:from>
    <xdr:to>
      <xdr:col>2</xdr:col>
      <xdr:colOff>789214</xdr:colOff>
      <xdr:row>0</xdr:row>
      <xdr:rowOff>742950</xdr:rowOff>
    </xdr:to>
    <xdr:pic>
      <xdr:nvPicPr>
        <xdr:cNvPr id="4" name="Imagem 3" descr="Mectrol HIWIN - Automação e Robótica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0"/>
          <a:ext cx="293370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533400</xdr:colOff>
      <xdr:row>46</xdr:row>
      <xdr:rowOff>66674</xdr:rowOff>
    </xdr:to>
    <xdr:pic>
      <xdr:nvPicPr>
        <xdr:cNvPr id="2" name="Imagem 1" descr="Mectrol HIWIN do Brasil | LinkedI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78400" cy="8391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60960</xdr:colOff>
      <xdr:row>0</xdr:row>
      <xdr:rowOff>22860</xdr:rowOff>
    </xdr:from>
    <xdr:to>
      <xdr:col>25</xdr:col>
      <xdr:colOff>419100</xdr:colOff>
      <xdr:row>32</xdr:row>
      <xdr:rowOff>83820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0960" y="22860"/>
          <a:ext cx="17503140" cy="5852160"/>
        </a:xfrm>
        <a:prstGeom prst="rect">
          <a:avLst/>
        </a:prstGeom>
        <a:solidFill>
          <a:srgbClr val="156082">
            <a:alpha val="56078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289560</xdr:colOff>
      <xdr:row>8</xdr:row>
      <xdr:rowOff>31150</xdr:rowOff>
    </xdr:from>
    <xdr:to>
      <xdr:col>23</xdr:col>
      <xdr:colOff>198120</xdr:colOff>
      <xdr:row>31</xdr:row>
      <xdr:rowOff>160020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043160" y="1494190"/>
          <a:ext cx="4175760" cy="433511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533400</xdr:colOff>
      <xdr:row>3</xdr:row>
      <xdr:rowOff>30480</xdr:rowOff>
    </xdr:from>
    <xdr:to>
      <xdr:col>7</xdr:col>
      <xdr:colOff>22860</xdr:colOff>
      <xdr:row>7</xdr:row>
      <xdr:rowOff>152400</xdr:rowOff>
    </xdr:to>
    <xdr:sp macro="" textlink="'CONFIGURAÇÃO '!G23">
      <xdr:nvSpPr>
        <xdr:cNvPr id="4" name="Retângul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362200" y="579120"/>
          <a:ext cx="1927860" cy="85344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F824B3E-7FE4-4BB8-BAC3-7C20397ECADD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TOTAL DE PEÇAS PRODUZIDAS NO MÊS</a:t>
          </a:fld>
          <a:endParaRPr lang="pt-BR" sz="1100" b="1"/>
        </a:p>
      </xdr:txBody>
    </xdr:sp>
    <xdr:clientData/>
  </xdr:twoCellAnchor>
  <xdr:twoCellAnchor>
    <xdr:from>
      <xdr:col>0</xdr:col>
      <xdr:colOff>137160</xdr:colOff>
      <xdr:row>2</xdr:row>
      <xdr:rowOff>131331</xdr:rowOff>
    </xdr:from>
    <xdr:to>
      <xdr:col>3</xdr:col>
      <xdr:colOff>449580</xdr:colOff>
      <xdr:row>31</xdr:row>
      <xdr:rowOff>137161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7160" y="497091"/>
          <a:ext cx="2141220" cy="530935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89536</xdr:colOff>
      <xdr:row>3</xdr:row>
      <xdr:rowOff>30480</xdr:rowOff>
    </xdr:from>
    <xdr:to>
      <xdr:col>9</xdr:col>
      <xdr:colOff>488157</xdr:colOff>
      <xdr:row>7</xdr:row>
      <xdr:rowOff>152400</xdr:rowOff>
    </xdr:to>
    <xdr:sp macro="" textlink="'CONFIGURAÇÃO '!I23">
      <xdr:nvSpPr>
        <xdr:cNvPr id="10" name="Retângul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4923474" y="566261"/>
          <a:ext cx="1779746" cy="836295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50B9293-F962-4A77-81BD-D094061A1991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 algn="ctr"/>
            <a:t>PEÇAS REPROVADAS</a:t>
          </a:fld>
          <a:endParaRPr lang="pt-BR" sz="1200" b="1"/>
        </a:p>
      </xdr:txBody>
    </xdr:sp>
    <xdr:clientData/>
  </xdr:twoCellAnchor>
  <xdr:twoCellAnchor>
    <xdr:from>
      <xdr:col>9</xdr:col>
      <xdr:colOff>560546</xdr:colOff>
      <xdr:row>3</xdr:row>
      <xdr:rowOff>30480</xdr:rowOff>
    </xdr:from>
    <xdr:to>
      <xdr:col>12</xdr:col>
      <xdr:colOff>119062</xdr:colOff>
      <xdr:row>7</xdr:row>
      <xdr:rowOff>152400</xdr:rowOff>
    </xdr:to>
    <xdr:sp macro="" textlink="'CONFIGURAÇÃO '!L23">
      <xdr:nvSpPr>
        <xdr:cNvPr id="11" name="Retângulo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6775609" y="566261"/>
          <a:ext cx="1630203" cy="836295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19916ABA-51F6-48AF-990E-FBF3B5BC430A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 algn="ctr"/>
            <a:t>PEÇAS APROVADAS</a:t>
          </a:fld>
          <a:endParaRPr lang="pt-BR" sz="1200" b="1"/>
        </a:p>
      </xdr:txBody>
    </xdr:sp>
    <xdr:clientData/>
  </xdr:twoCellAnchor>
  <xdr:twoCellAnchor>
    <xdr:from>
      <xdr:col>3</xdr:col>
      <xdr:colOff>525780</xdr:colOff>
      <xdr:row>8</xdr:row>
      <xdr:rowOff>30480</xdr:rowOff>
    </xdr:from>
    <xdr:to>
      <xdr:col>13</xdr:col>
      <xdr:colOff>472440</xdr:colOff>
      <xdr:row>19</xdr:row>
      <xdr:rowOff>129540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2354580" y="1493520"/>
          <a:ext cx="6042660" cy="211074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533400</xdr:colOff>
      <xdr:row>20</xdr:row>
      <xdr:rowOff>45720</xdr:rowOff>
    </xdr:from>
    <xdr:to>
      <xdr:col>8</xdr:col>
      <xdr:colOff>320040</xdr:colOff>
      <xdr:row>31</xdr:row>
      <xdr:rowOff>129540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2362200" y="3703320"/>
          <a:ext cx="2834640" cy="209550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76200</xdr:colOff>
      <xdr:row>20</xdr:row>
      <xdr:rowOff>45720</xdr:rowOff>
    </xdr:from>
    <xdr:to>
      <xdr:col>13</xdr:col>
      <xdr:colOff>472440</xdr:colOff>
      <xdr:row>31</xdr:row>
      <xdr:rowOff>129540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5562600" y="3703320"/>
          <a:ext cx="2834640" cy="209550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556260</xdr:colOff>
      <xdr:row>2</xdr:row>
      <xdr:rowOff>30480</xdr:rowOff>
    </xdr:from>
    <xdr:to>
      <xdr:col>7</xdr:col>
      <xdr:colOff>7620</xdr:colOff>
      <xdr:row>5</xdr:row>
      <xdr:rowOff>91440</xdr:rowOff>
    </xdr:to>
    <xdr:sp macro="" textlink="$C$38">
      <xdr:nvSpPr>
        <xdr:cNvPr id="18" name="Retângul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385060" y="396240"/>
          <a:ext cx="1889760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391DABD4-DE56-45FB-B6BA-F4497B5AB5A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 </a:t>
          </a:fld>
          <a:endParaRPr lang="pt-BR" sz="1100"/>
        </a:p>
      </xdr:txBody>
    </xdr:sp>
    <xdr:clientData/>
  </xdr:twoCellAnchor>
  <xdr:twoCellAnchor>
    <xdr:from>
      <xdr:col>3</xdr:col>
      <xdr:colOff>533400</xdr:colOff>
      <xdr:row>4</xdr:row>
      <xdr:rowOff>175260</xdr:rowOff>
    </xdr:from>
    <xdr:to>
      <xdr:col>6</xdr:col>
      <xdr:colOff>594360</xdr:colOff>
      <xdr:row>7</xdr:row>
      <xdr:rowOff>76200</xdr:rowOff>
    </xdr:to>
    <xdr:sp macro="" textlink="'CONFIGURAÇÃO '!G24">
      <xdr:nvSpPr>
        <xdr:cNvPr id="19" name="Retângul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62200" y="906780"/>
          <a:ext cx="1889760" cy="4495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163A07D-E7F8-4407-BE05-E2D5288456B9}" type="TxLink">
            <a:rPr lang="en-US" sz="2800" b="1" i="0" u="none" strike="noStrike">
              <a:solidFill>
                <a:srgbClr val="000000"/>
              </a:solidFill>
              <a:latin typeface="Aptos Narrow"/>
            </a:rPr>
            <a:pPr algn="ctr"/>
            <a:t>315</a:t>
          </a:fld>
          <a:endParaRPr lang="pt-BR" sz="2800" b="1"/>
        </a:p>
      </xdr:txBody>
    </xdr:sp>
    <xdr:clientData/>
  </xdr:twoCellAnchor>
  <xdr:twoCellAnchor>
    <xdr:from>
      <xdr:col>3</xdr:col>
      <xdr:colOff>525780</xdr:colOff>
      <xdr:row>8</xdr:row>
      <xdr:rowOff>30480</xdr:rowOff>
    </xdr:from>
    <xdr:to>
      <xdr:col>13</xdr:col>
      <xdr:colOff>472440</xdr:colOff>
      <xdr:row>19</xdr:row>
      <xdr:rowOff>106680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533400</xdr:colOff>
      <xdr:row>20</xdr:row>
      <xdr:rowOff>45720</xdr:rowOff>
    </xdr:from>
    <xdr:to>
      <xdr:col>8</xdr:col>
      <xdr:colOff>327660</xdr:colOff>
      <xdr:row>31</xdr:row>
      <xdr:rowOff>137160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126206</xdr:colOff>
      <xdr:row>4</xdr:row>
      <xdr:rowOff>140494</xdr:rowOff>
    </xdr:from>
    <xdr:to>
      <xdr:col>9</xdr:col>
      <xdr:colOff>331946</xdr:colOff>
      <xdr:row>7</xdr:row>
      <xdr:rowOff>33814</xdr:rowOff>
    </xdr:to>
    <xdr:sp macro="" textlink="Lançamentos!P158">
      <xdr:nvSpPr>
        <xdr:cNvPr id="23" name="Retângulo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5650706" y="854869"/>
          <a:ext cx="896303" cy="4291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2A19CFD-1328-4812-B39C-CAD286297483}" type="TxLink">
            <a:rPr lang="en-US" sz="2800" b="1" i="0" u="none" strike="noStrike">
              <a:solidFill>
                <a:srgbClr val="C00000"/>
              </a:solidFill>
              <a:latin typeface="Aptos Narrow"/>
            </a:rPr>
            <a:pPr algn="l"/>
            <a:t>13</a:t>
          </a:fld>
          <a:endParaRPr lang="pt-BR" sz="1800">
            <a:solidFill>
              <a:srgbClr val="C00000"/>
            </a:solidFill>
          </a:endParaRPr>
        </a:p>
      </xdr:txBody>
    </xdr:sp>
    <xdr:clientData/>
  </xdr:twoCellAnchor>
  <xdr:twoCellAnchor>
    <xdr:from>
      <xdr:col>10</xdr:col>
      <xdr:colOff>384811</xdr:colOff>
      <xdr:row>4</xdr:row>
      <xdr:rowOff>128588</xdr:rowOff>
    </xdr:from>
    <xdr:to>
      <xdr:col>11</xdr:col>
      <xdr:colOff>671513</xdr:colOff>
      <xdr:row>7</xdr:row>
      <xdr:rowOff>14288</xdr:rowOff>
    </xdr:to>
    <xdr:sp macro="" textlink="Lançamentos!O158">
      <xdr:nvSpPr>
        <xdr:cNvPr id="24" name="Retângulo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7290436" y="842963"/>
          <a:ext cx="977265" cy="4214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193D657-9693-4E5B-B649-ED548107F865}" type="TxLink">
            <a:rPr lang="en-US" sz="2800" b="1" i="0" u="none" strike="noStrike">
              <a:solidFill>
                <a:srgbClr val="00B050"/>
              </a:solidFill>
              <a:latin typeface="Aptos Narrow"/>
            </a:rPr>
            <a:pPr algn="l"/>
            <a:t>303</a:t>
          </a:fld>
          <a:endParaRPr lang="pt-BR" sz="1800"/>
        </a:p>
      </xdr:txBody>
    </xdr:sp>
    <xdr:clientData/>
  </xdr:twoCellAnchor>
  <xdr:twoCellAnchor>
    <xdr:from>
      <xdr:col>0</xdr:col>
      <xdr:colOff>137160</xdr:colOff>
      <xdr:row>0</xdr:row>
      <xdr:rowOff>53341</xdr:rowOff>
    </xdr:from>
    <xdr:to>
      <xdr:col>23</xdr:col>
      <xdr:colOff>182880</xdr:colOff>
      <xdr:row>2</xdr:row>
      <xdr:rowOff>129541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137160" y="53341"/>
          <a:ext cx="14066520" cy="44196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2800" b="1" baseline="0">
              <a:latin typeface="Arial Black" panose="020B0A04020102020204" pitchFamily="34" charset="0"/>
            </a:rPr>
            <a:t> CONTROLE DE QUALIDADE</a:t>
          </a:r>
          <a:endParaRPr lang="pt-BR" sz="28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16</xdr:col>
      <xdr:colOff>289560</xdr:colOff>
      <xdr:row>8</xdr:row>
      <xdr:rowOff>30480</xdr:rowOff>
    </xdr:from>
    <xdr:to>
      <xdr:col>23</xdr:col>
      <xdr:colOff>198120</xdr:colOff>
      <xdr:row>9</xdr:row>
      <xdr:rowOff>99060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10043160" y="1493520"/>
          <a:ext cx="4175760" cy="25146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OBSERVAÇÃO</a:t>
          </a:r>
          <a:endParaRPr lang="pt-BR" sz="28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13</xdr:col>
      <xdr:colOff>518160</xdr:colOff>
      <xdr:row>8</xdr:row>
      <xdr:rowOff>30480</xdr:rowOff>
    </xdr:from>
    <xdr:to>
      <xdr:col>16</xdr:col>
      <xdr:colOff>228600</xdr:colOff>
      <xdr:row>12</xdr:row>
      <xdr:rowOff>129540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442960" y="1493520"/>
          <a:ext cx="1539240" cy="83058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/>
            <a:t>PERCENTUAL APROVAÇÃO</a:t>
          </a:r>
          <a:r>
            <a:rPr lang="pt-BR" sz="1000" b="1" baseline="0"/>
            <a:t> DIRETA</a:t>
          </a:r>
          <a:endParaRPr lang="pt-BR" sz="1000" b="1"/>
        </a:p>
      </xdr:txBody>
    </xdr:sp>
    <xdr:clientData/>
  </xdr:twoCellAnchor>
  <xdr:twoCellAnchor>
    <xdr:from>
      <xdr:col>13</xdr:col>
      <xdr:colOff>525780</xdr:colOff>
      <xdr:row>13</xdr:row>
      <xdr:rowOff>30480</xdr:rowOff>
    </xdr:from>
    <xdr:to>
      <xdr:col>16</xdr:col>
      <xdr:colOff>236220</xdr:colOff>
      <xdr:row>17</xdr:row>
      <xdr:rowOff>129540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450580" y="2407920"/>
          <a:ext cx="1539240" cy="83058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/>
            <a:t>PERCENTUAL DE </a:t>
          </a:r>
          <a:r>
            <a:rPr lang="pt-BR" sz="1050" b="1"/>
            <a:t>PEÇAS</a:t>
          </a:r>
          <a:r>
            <a:rPr lang="pt-BR" sz="1050" b="1" baseline="0"/>
            <a:t> MORTAS</a:t>
          </a:r>
        </a:p>
        <a:p>
          <a:pPr algn="ctr"/>
          <a:endParaRPr lang="pt-BR" sz="1000" b="1"/>
        </a:p>
      </xdr:txBody>
    </xdr:sp>
    <xdr:clientData/>
  </xdr:twoCellAnchor>
  <xdr:twoCellAnchor>
    <xdr:from>
      <xdr:col>13</xdr:col>
      <xdr:colOff>533400</xdr:colOff>
      <xdr:row>18</xdr:row>
      <xdr:rowOff>15240</xdr:rowOff>
    </xdr:from>
    <xdr:to>
      <xdr:col>16</xdr:col>
      <xdr:colOff>243840</xdr:colOff>
      <xdr:row>22</xdr:row>
      <xdr:rowOff>114300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458200" y="3307080"/>
          <a:ext cx="1539240" cy="83058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/>
            <a:t>PERCENTUAL DE RETRABALHO</a:t>
          </a:r>
        </a:p>
        <a:p>
          <a:pPr algn="ctr"/>
          <a:endParaRPr lang="pt-BR" sz="1000" b="1"/>
        </a:p>
      </xdr:txBody>
    </xdr:sp>
    <xdr:clientData/>
  </xdr:twoCellAnchor>
  <xdr:twoCellAnchor>
    <xdr:from>
      <xdr:col>14</xdr:col>
      <xdr:colOff>390525</xdr:colOff>
      <xdr:row>10</xdr:row>
      <xdr:rowOff>15240</xdr:rowOff>
    </xdr:from>
    <xdr:to>
      <xdr:col>16</xdr:col>
      <xdr:colOff>190500</xdr:colOff>
      <xdr:row>12</xdr:row>
      <xdr:rowOff>91440</xdr:rowOff>
    </xdr:to>
    <xdr:sp macro="" textlink="'CONFIGURAÇÃO '!O23">
      <xdr:nvSpPr>
        <xdr:cNvPr id="37" name="Retângulo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9991725" y="1824990"/>
          <a:ext cx="1171575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EA34328-9CB4-4BA7-8E40-803CC28D47DD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l"/>
            <a:t>96,190%</a:t>
          </a:fld>
          <a:endParaRPr lang="pt-BR" sz="1600" b="1"/>
        </a:p>
      </xdr:txBody>
    </xdr:sp>
    <xdr:clientData/>
  </xdr:twoCellAnchor>
  <xdr:twoCellAnchor>
    <xdr:from>
      <xdr:col>14</xdr:col>
      <xdr:colOff>434340</xdr:colOff>
      <xdr:row>15</xdr:row>
      <xdr:rowOff>30480</xdr:rowOff>
    </xdr:from>
    <xdr:to>
      <xdr:col>16</xdr:col>
      <xdr:colOff>190500</xdr:colOff>
      <xdr:row>17</xdr:row>
      <xdr:rowOff>106680</xdr:rowOff>
    </xdr:to>
    <xdr:sp macro="" textlink="'CONFIGURAÇÃO '!O24">
      <xdr:nvSpPr>
        <xdr:cNvPr id="38" name="Retângulo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968740" y="2773680"/>
          <a:ext cx="975360" cy="4419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59DCE54-4587-4ED9-B695-091AAB55113D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l"/>
            <a:t>0,000%</a:t>
          </a:fld>
          <a:endParaRPr lang="pt-BR" sz="1600" b="1"/>
        </a:p>
      </xdr:txBody>
    </xdr:sp>
    <xdr:clientData/>
  </xdr:twoCellAnchor>
  <xdr:twoCellAnchor>
    <xdr:from>
      <xdr:col>14</xdr:col>
      <xdr:colOff>434340</xdr:colOff>
      <xdr:row>20</xdr:row>
      <xdr:rowOff>22860</xdr:rowOff>
    </xdr:from>
    <xdr:to>
      <xdr:col>16</xdr:col>
      <xdr:colOff>190500</xdr:colOff>
      <xdr:row>22</xdr:row>
      <xdr:rowOff>99060</xdr:rowOff>
    </xdr:to>
    <xdr:sp macro="" textlink="'CONFIGURAÇÃO '!O25">
      <xdr:nvSpPr>
        <xdr:cNvPr id="39" name="Retângulo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968740" y="3680460"/>
          <a:ext cx="975360" cy="4419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AEFE07A-3116-4CA5-9853-CD5D346EB969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l"/>
            <a:t>2,540%</a:t>
          </a:fld>
          <a:endParaRPr lang="pt-BR" sz="1600" b="1"/>
        </a:p>
      </xdr:txBody>
    </xdr:sp>
    <xdr:clientData/>
  </xdr:twoCellAnchor>
  <xdr:twoCellAnchor>
    <xdr:from>
      <xdr:col>0</xdr:col>
      <xdr:colOff>144780</xdr:colOff>
      <xdr:row>2</xdr:row>
      <xdr:rowOff>129540</xdr:rowOff>
    </xdr:from>
    <xdr:to>
      <xdr:col>3</xdr:col>
      <xdr:colOff>449580</xdr:colOff>
      <xdr:row>5</xdr:row>
      <xdr:rowOff>173470</xdr:rowOff>
    </xdr:to>
    <xdr:sp macro="" textlink="">
      <xdr:nvSpPr>
        <xdr:cNvPr id="41" name="Fluxograma: Fita Perfurada 4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144780" y="495300"/>
          <a:ext cx="2133600" cy="592570"/>
        </a:xfrm>
        <a:prstGeom prst="flowChartPunchedTape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/>
            <a:t>LANÇAMENTOS</a:t>
          </a:r>
        </a:p>
      </xdr:txBody>
    </xdr:sp>
    <xdr:clientData/>
  </xdr:twoCellAnchor>
  <xdr:twoCellAnchor>
    <xdr:from>
      <xdr:col>0</xdr:col>
      <xdr:colOff>152400</xdr:colOff>
      <xdr:row>5</xdr:row>
      <xdr:rowOff>15240</xdr:rowOff>
    </xdr:from>
    <xdr:to>
      <xdr:col>3</xdr:col>
      <xdr:colOff>457200</xdr:colOff>
      <xdr:row>8</xdr:row>
      <xdr:rowOff>59170</xdr:rowOff>
    </xdr:to>
    <xdr:sp macro="" textlink="">
      <xdr:nvSpPr>
        <xdr:cNvPr id="42" name="Fluxograma: Fita Perfurada 4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52400" y="929640"/>
          <a:ext cx="2133600" cy="592570"/>
        </a:xfrm>
        <a:prstGeom prst="flowChartPunchedTape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/>
            <a:t> REFUGO</a:t>
          </a:r>
        </a:p>
      </xdr:txBody>
    </xdr:sp>
    <xdr:clientData/>
  </xdr:twoCellAnchor>
  <xdr:twoCellAnchor>
    <xdr:from>
      <xdr:col>0</xdr:col>
      <xdr:colOff>152400</xdr:colOff>
      <xdr:row>7</xdr:row>
      <xdr:rowOff>116091</xdr:rowOff>
    </xdr:from>
    <xdr:to>
      <xdr:col>3</xdr:col>
      <xdr:colOff>457200</xdr:colOff>
      <xdr:row>10</xdr:row>
      <xdr:rowOff>160021</xdr:rowOff>
    </xdr:to>
    <xdr:sp macro="" textlink="">
      <xdr:nvSpPr>
        <xdr:cNvPr id="43" name="Fluxograma: Fita Perfurada 4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152400" y="1396251"/>
          <a:ext cx="2133600" cy="592570"/>
        </a:xfrm>
        <a:prstGeom prst="flowChartPunchedTape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/>
            <a:t>OBSERVAÇÕES</a:t>
          </a:r>
        </a:p>
      </xdr:txBody>
    </xdr:sp>
    <xdr:clientData/>
  </xdr:twoCellAnchor>
  <xdr:twoCellAnchor>
    <xdr:from>
      <xdr:col>0</xdr:col>
      <xdr:colOff>152400</xdr:colOff>
      <xdr:row>10</xdr:row>
      <xdr:rowOff>55131</xdr:rowOff>
    </xdr:from>
    <xdr:to>
      <xdr:col>3</xdr:col>
      <xdr:colOff>457200</xdr:colOff>
      <xdr:row>13</xdr:row>
      <xdr:rowOff>99061</xdr:rowOff>
    </xdr:to>
    <xdr:sp macro="" textlink="">
      <xdr:nvSpPr>
        <xdr:cNvPr id="44" name="Fluxograma: Fita Perfurada 4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152400" y="1883931"/>
          <a:ext cx="2133600" cy="592570"/>
        </a:xfrm>
        <a:prstGeom prst="flowChartPunchedTape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/>
            <a:t>CONFIGURAÇÕES</a:t>
          </a:r>
        </a:p>
      </xdr:txBody>
    </xdr:sp>
    <xdr:clientData/>
  </xdr:twoCellAnchor>
  <xdr:twoCellAnchor editAs="oneCell">
    <xdr:from>
      <xdr:col>2</xdr:col>
      <xdr:colOff>586740</xdr:colOff>
      <xdr:row>8</xdr:row>
      <xdr:rowOff>7620</xdr:rowOff>
    </xdr:from>
    <xdr:to>
      <xdr:col>3</xdr:col>
      <xdr:colOff>373380</xdr:colOff>
      <xdr:row>10</xdr:row>
      <xdr:rowOff>38100</xdr:rowOff>
    </xdr:to>
    <xdr:pic>
      <xdr:nvPicPr>
        <xdr:cNvPr id="46" name="Gráfico 45" descr="Documento com preenchimento sólido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805940" y="1470660"/>
          <a:ext cx="396240" cy="39624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10</xdr:row>
      <xdr:rowOff>152400</xdr:rowOff>
    </xdr:from>
    <xdr:to>
      <xdr:col>3</xdr:col>
      <xdr:colOff>320040</xdr:colOff>
      <xdr:row>12</xdr:row>
      <xdr:rowOff>99060</xdr:rowOff>
    </xdr:to>
    <xdr:pic>
      <xdr:nvPicPr>
        <xdr:cNvPr id="48" name="Gráfico 47" descr="Ferramentas com preenchimento sólido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836420" y="1981200"/>
          <a:ext cx="312420" cy="312420"/>
        </a:xfrm>
        <a:prstGeom prst="rect">
          <a:avLst/>
        </a:prstGeom>
      </xdr:spPr>
    </xdr:pic>
    <xdr:clientData/>
  </xdr:twoCellAnchor>
  <xdr:twoCellAnchor>
    <xdr:from>
      <xdr:col>16</xdr:col>
      <xdr:colOff>297180</xdr:colOff>
      <xdr:row>9</xdr:row>
      <xdr:rowOff>114300</xdr:rowOff>
    </xdr:from>
    <xdr:to>
      <xdr:col>23</xdr:col>
      <xdr:colOff>190500</xdr:colOff>
      <xdr:row>10</xdr:row>
      <xdr:rowOff>144780</xdr:rowOff>
    </xdr:to>
    <xdr:sp macro="" textlink="Observações!C3">
      <xdr:nvSpPr>
        <xdr:cNvPr id="49" name="Retângulo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10050780" y="176022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34E098E-AE34-4C70-A505-00CBFD49459A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LANÇAR PEDIDO 0084147 DA HITACHI? POIS NÃO FOI USINADO ERA SÓ VER O DEGRAU NA CASTANHA OP 03713301001</a:t>
          </a:fld>
          <a:endParaRPr lang="pt-BR" sz="1100"/>
        </a:p>
      </xdr:txBody>
    </xdr:sp>
    <xdr:clientData/>
  </xdr:twoCellAnchor>
  <xdr:twoCellAnchor>
    <xdr:from>
      <xdr:col>16</xdr:col>
      <xdr:colOff>297180</xdr:colOff>
      <xdr:row>12</xdr:row>
      <xdr:rowOff>7620</xdr:rowOff>
    </xdr:from>
    <xdr:to>
      <xdr:col>23</xdr:col>
      <xdr:colOff>190500</xdr:colOff>
      <xdr:row>13</xdr:row>
      <xdr:rowOff>38100</xdr:rowOff>
    </xdr:to>
    <xdr:sp macro="" textlink="Observações!C5">
      <xdr:nvSpPr>
        <xdr:cNvPr id="51" name="Retângulo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10050780" y="220218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C5D8347-30D2-45EC-AB21-CE44C988D75A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3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13</xdr:row>
      <xdr:rowOff>53340</xdr:rowOff>
    </xdr:from>
    <xdr:to>
      <xdr:col>23</xdr:col>
      <xdr:colOff>198120</xdr:colOff>
      <xdr:row>14</xdr:row>
      <xdr:rowOff>83820</xdr:rowOff>
    </xdr:to>
    <xdr:sp macro="" textlink="Observações!C6">
      <xdr:nvSpPr>
        <xdr:cNvPr id="52" name="Retângulo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10058400" y="243078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F578D25-88CE-47B9-93F6-DC63FA569888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4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14</xdr:row>
      <xdr:rowOff>99060</xdr:rowOff>
    </xdr:from>
    <xdr:to>
      <xdr:col>23</xdr:col>
      <xdr:colOff>198120</xdr:colOff>
      <xdr:row>15</xdr:row>
      <xdr:rowOff>129540</xdr:rowOff>
    </xdr:to>
    <xdr:sp macro="" textlink="Observações!C7">
      <xdr:nvSpPr>
        <xdr:cNvPr id="53" name="Retângulo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10058400" y="265938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D7ECBB0-7FDC-4703-825E-C11B61A2514F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5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15</xdr:row>
      <xdr:rowOff>121920</xdr:rowOff>
    </xdr:from>
    <xdr:to>
      <xdr:col>23</xdr:col>
      <xdr:colOff>198120</xdr:colOff>
      <xdr:row>16</xdr:row>
      <xdr:rowOff>152400</xdr:rowOff>
    </xdr:to>
    <xdr:sp macro="" textlink="Observações!C8">
      <xdr:nvSpPr>
        <xdr:cNvPr id="54" name="Retângulo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10058400" y="286512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F019113-68A3-4F12-AEB3-9D01314DB770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6</a:t>
          </a:fld>
          <a:endParaRPr lang="pt-BR" sz="1100"/>
        </a:p>
      </xdr:txBody>
    </xdr:sp>
    <xdr:clientData/>
  </xdr:twoCellAnchor>
  <xdr:twoCellAnchor>
    <xdr:from>
      <xdr:col>16</xdr:col>
      <xdr:colOff>297180</xdr:colOff>
      <xdr:row>16</xdr:row>
      <xdr:rowOff>167640</xdr:rowOff>
    </xdr:from>
    <xdr:to>
      <xdr:col>23</xdr:col>
      <xdr:colOff>190500</xdr:colOff>
      <xdr:row>18</xdr:row>
      <xdr:rowOff>15240</xdr:rowOff>
    </xdr:to>
    <xdr:sp macro="" textlink="Observações!C9">
      <xdr:nvSpPr>
        <xdr:cNvPr id="55" name="Retângulo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10050780" y="309372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4536F38-4E90-4AC9-BF58-CBEE39683F3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7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18</xdr:row>
      <xdr:rowOff>22860</xdr:rowOff>
    </xdr:from>
    <xdr:to>
      <xdr:col>23</xdr:col>
      <xdr:colOff>198120</xdr:colOff>
      <xdr:row>19</xdr:row>
      <xdr:rowOff>53340</xdr:rowOff>
    </xdr:to>
    <xdr:sp macro="" textlink="Observações!C10">
      <xdr:nvSpPr>
        <xdr:cNvPr id="56" name="Retângulo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10058400" y="331470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E0089DA-93F9-4C19-8BD7-91F20339835C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8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19</xdr:row>
      <xdr:rowOff>53340</xdr:rowOff>
    </xdr:from>
    <xdr:to>
      <xdr:col>23</xdr:col>
      <xdr:colOff>198120</xdr:colOff>
      <xdr:row>20</xdr:row>
      <xdr:rowOff>83820</xdr:rowOff>
    </xdr:to>
    <xdr:sp macro="" textlink="Observações!C11">
      <xdr:nvSpPr>
        <xdr:cNvPr id="57" name="Retângulo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10058400" y="352806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4E95D87-048D-4D25-A55E-879179C2CA7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9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20</xdr:row>
      <xdr:rowOff>91440</xdr:rowOff>
    </xdr:from>
    <xdr:to>
      <xdr:col>23</xdr:col>
      <xdr:colOff>198120</xdr:colOff>
      <xdr:row>21</xdr:row>
      <xdr:rowOff>121920</xdr:rowOff>
    </xdr:to>
    <xdr:sp macro="" textlink="Observações!C12">
      <xdr:nvSpPr>
        <xdr:cNvPr id="60" name="Retângulo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10058400" y="374904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C393F4B-6DA4-4DFE-9A69-D272C756F79F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10</a:t>
          </a:fld>
          <a:endParaRPr lang="pt-BR" sz="1100"/>
        </a:p>
      </xdr:txBody>
    </xdr:sp>
    <xdr:clientData/>
  </xdr:twoCellAnchor>
  <xdr:twoCellAnchor>
    <xdr:from>
      <xdr:col>16</xdr:col>
      <xdr:colOff>297180</xdr:colOff>
      <xdr:row>22</xdr:row>
      <xdr:rowOff>167640</xdr:rowOff>
    </xdr:from>
    <xdr:to>
      <xdr:col>23</xdr:col>
      <xdr:colOff>190500</xdr:colOff>
      <xdr:row>24</xdr:row>
      <xdr:rowOff>15240</xdr:rowOff>
    </xdr:to>
    <xdr:sp macro="" textlink="Observações!C14">
      <xdr:nvSpPr>
        <xdr:cNvPr id="62" name="Retângulo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10050780" y="419100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6F349F2-A153-4D9F-8074-372D1FAD6AF4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12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24</xdr:row>
      <xdr:rowOff>30480</xdr:rowOff>
    </xdr:from>
    <xdr:to>
      <xdr:col>23</xdr:col>
      <xdr:colOff>198120</xdr:colOff>
      <xdr:row>25</xdr:row>
      <xdr:rowOff>60960</xdr:rowOff>
    </xdr:to>
    <xdr:sp macro="" textlink="Observações!C15">
      <xdr:nvSpPr>
        <xdr:cNvPr id="63" name="Retângulo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10058400" y="441960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DB2060B-A917-42AA-8041-5216060701FF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13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25</xdr:row>
      <xdr:rowOff>76200</xdr:rowOff>
    </xdr:from>
    <xdr:to>
      <xdr:col>23</xdr:col>
      <xdr:colOff>198120</xdr:colOff>
      <xdr:row>26</xdr:row>
      <xdr:rowOff>106680</xdr:rowOff>
    </xdr:to>
    <xdr:sp macro="" textlink="Observações!C16">
      <xdr:nvSpPr>
        <xdr:cNvPr id="64" name="Retângulo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10058400" y="464820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8154B8C-BF93-4DEC-8F11-780CD4D82FB8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14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26</xdr:row>
      <xdr:rowOff>106680</xdr:rowOff>
    </xdr:from>
    <xdr:to>
      <xdr:col>23</xdr:col>
      <xdr:colOff>198120</xdr:colOff>
      <xdr:row>27</xdr:row>
      <xdr:rowOff>137160</xdr:rowOff>
    </xdr:to>
    <xdr:sp macro="" textlink="Observações!C17">
      <xdr:nvSpPr>
        <xdr:cNvPr id="65" name="Retângulo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10058400" y="486156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B30D870-7463-4D75-8106-074AADDA71BD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15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27</xdr:row>
      <xdr:rowOff>121920</xdr:rowOff>
    </xdr:from>
    <xdr:to>
      <xdr:col>23</xdr:col>
      <xdr:colOff>198120</xdr:colOff>
      <xdr:row>28</xdr:row>
      <xdr:rowOff>152400</xdr:rowOff>
    </xdr:to>
    <xdr:sp macro="" textlink="">
      <xdr:nvSpPr>
        <xdr:cNvPr id="66" name="Retângulo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10058400" y="505968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304800</xdr:colOff>
      <xdr:row>28</xdr:row>
      <xdr:rowOff>160020</xdr:rowOff>
    </xdr:from>
    <xdr:to>
      <xdr:col>23</xdr:col>
      <xdr:colOff>198120</xdr:colOff>
      <xdr:row>30</xdr:row>
      <xdr:rowOff>7620</xdr:rowOff>
    </xdr:to>
    <xdr:sp macro="" textlink="">
      <xdr:nvSpPr>
        <xdr:cNvPr id="67" name="Retângulo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10058400" y="528066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304800</xdr:colOff>
      <xdr:row>30</xdr:row>
      <xdr:rowOff>15240</xdr:rowOff>
    </xdr:from>
    <xdr:to>
      <xdr:col>23</xdr:col>
      <xdr:colOff>198120</xdr:colOff>
      <xdr:row>31</xdr:row>
      <xdr:rowOff>45720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10058400" y="550164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304800</xdr:colOff>
      <xdr:row>21</xdr:row>
      <xdr:rowOff>121920</xdr:rowOff>
    </xdr:from>
    <xdr:to>
      <xdr:col>23</xdr:col>
      <xdr:colOff>198120</xdr:colOff>
      <xdr:row>22</xdr:row>
      <xdr:rowOff>152400</xdr:rowOff>
    </xdr:to>
    <xdr:sp macro="" textlink="Observações!C13">
      <xdr:nvSpPr>
        <xdr:cNvPr id="69" name="Retângulo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10058400" y="396240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B25028A-1E28-4900-9A84-89BD0EE3E6DD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11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10</xdr:row>
      <xdr:rowOff>144780</xdr:rowOff>
    </xdr:from>
    <xdr:to>
      <xdr:col>23</xdr:col>
      <xdr:colOff>198120</xdr:colOff>
      <xdr:row>11</xdr:row>
      <xdr:rowOff>175260</xdr:rowOff>
    </xdr:to>
    <xdr:sp macro="" textlink="Observações!C4">
      <xdr:nvSpPr>
        <xdr:cNvPr id="70" name="Retângulo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10058400" y="197358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521D4EF-0676-400A-B043-37A7ED7570A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2</a:t>
          </a:fld>
          <a:endParaRPr lang="pt-BR" sz="1100"/>
        </a:p>
      </xdr:txBody>
    </xdr:sp>
    <xdr:clientData/>
  </xdr:twoCellAnchor>
  <xdr:twoCellAnchor>
    <xdr:from>
      <xdr:col>13</xdr:col>
      <xdr:colOff>533400</xdr:colOff>
      <xdr:row>22</xdr:row>
      <xdr:rowOff>163830</xdr:rowOff>
    </xdr:from>
    <xdr:to>
      <xdr:col>16</xdr:col>
      <xdr:colOff>243840</xdr:colOff>
      <xdr:row>27</xdr:row>
      <xdr:rowOff>81915</xdr:rowOff>
    </xdr:to>
    <xdr:sp macro="" textlink="">
      <xdr:nvSpPr>
        <xdr:cNvPr id="50" name="Retângulo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9448800" y="4145280"/>
          <a:ext cx="1767840" cy="82296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/>
            <a:t>APROVAÇÃO</a:t>
          </a:r>
          <a:r>
            <a:rPr lang="pt-BR" sz="1000" b="1" baseline="0"/>
            <a:t> DIRETA + RETRABALHO</a:t>
          </a:r>
          <a:endParaRPr lang="pt-BR" sz="1000" b="1"/>
        </a:p>
      </xdr:txBody>
    </xdr:sp>
    <xdr:clientData/>
  </xdr:twoCellAnchor>
  <xdr:twoCellAnchor>
    <xdr:from>
      <xdr:col>14</xdr:col>
      <xdr:colOff>472440</xdr:colOff>
      <xdr:row>25</xdr:row>
      <xdr:rowOff>99060</xdr:rowOff>
    </xdr:from>
    <xdr:to>
      <xdr:col>16</xdr:col>
      <xdr:colOff>228600</xdr:colOff>
      <xdr:row>27</xdr:row>
      <xdr:rowOff>175260</xdr:rowOff>
    </xdr:to>
    <xdr:sp macro="" textlink="'CONFIGURAÇÃO '!O26">
      <xdr:nvSpPr>
        <xdr:cNvPr id="58" name="Retângulo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10073640" y="4623435"/>
          <a:ext cx="1127760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2B16AD49-D23A-488D-B9C1-CFC99D907E72}" type="TxLink">
            <a:rPr lang="en-US" sz="16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l"/>
            <a:t>98,730%</a:t>
          </a:fld>
          <a:endParaRPr lang="pt-BR" sz="16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184309</xdr:colOff>
      <xdr:row>3</xdr:row>
      <xdr:rowOff>38576</xdr:rowOff>
    </xdr:from>
    <xdr:to>
      <xdr:col>15</xdr:col>
      <xdr:colOff>130968</xdr:colOff>
      <xdr:row>7</xdr:row>
      <xdr:rowOff>160496</xdr:rowOff>
    </xdr:to>
    <xdr:sp macro="" textlink="">
      <xdr:nvSpPr>
        <xdr:cNvPr id="59" name="Retângulo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8471059" y="574357"/>
          <a:ext cx="2018347" cy="836295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Narrow"/>
            </a:rPr>
            <a:t>TOTAL DE RETRABALHO</a:t>
          </a:r>
          <a:r>
            <a:rPr lang="en-US" sz="1200" b="1" i="0" u="none" strike="noStrike" baseline="0">
              <a:solidFill>
                <a:srgbClr val="000000"/>
              </a:solidFill>
              <a:latin typeface="Aptos Narrow"/>
            </a:rPr>
            <a:t>S USINAGEM</a:t>
          </a:r>
          <a:endParaRPr lang="en-US" sz="12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15</xdr:col>
      <xdr:colOff>189073</xdr:colOff>
      <xdr:row>3</xdr:row>
      <xdr:rowOff>38576</xdr:rowOff>
    </xdr:from>
    <xdr:to>
      <xdr:col>17</xdr:col>
      <xdr:colOff>476250</xdr:colOff>
      <xdr:row>7</xdr:row>
      <xdr:rowOff>160496</xdr:rowOff>
    </xdr:to>
    <xdr:sp macro="" textlink="">
      <xdr:nvSpPr>
        <xdr:cNvPr id="61" name="Retângulo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10547511" y="574357"/>
          <a:ext cx="1668302" cy="836295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Narrow"/>
            </a:rPr>
            <a:t>TOTAL DE PEÇAS</a:t>
          </a:r>
          <a:r>
            <a:rPr lang="en-US" sz="1200" b="1" i="0" u="none" strike="noStrike" baseline="0">
              <a:solidFill>
                <a:srgbClr val="000000"/>
              </a:solidFill>
              <a:latin typeface="Aptos Narrow"/>
            </a:rPr>
            <a:t> MORTAS USINAGEM</a:t>
          </a:r>
          <a:endParaRPr lang="en-US" sz="12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13</xdr:col>
      <xdr:colOff>296704</xdr:colOff>
      <xdr:row>5</xdr:row>
      <xdr:rowOff>7620</xdr:rowOff>
    </xdr:from>
    <xdr:to>
      <xdr:col>14</xdr:col>
      <xdr:colOff>583407</xdr:colOff>
      <xdr:row>7</xdr:row>
      <xdr:rowOff>74295</xdr:rowOff>
    </xdr:to>
    <xdr:sp macro="" textlink="Lançamentos!Y158">
      <xdr:nvSpPr>
        <xdr:cNvPr id="71" name="Retângulo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9274017" y="900589"/>
          <a:ext cx="977265" cy="4238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46653A0E-D1EE-4049-97E4-2D35759D6BDB}" type="TxLink">
            <a:rPr lang="en-US" sz="2800" b="1" i="0" u="none" strike="noStrike">
              <a:solidFill>
                <a:srgbClr val="002060"/>
              </a:solidFill>
              <a:latin typeface="Aptos Narrow"/>
              <a:ea typeface="+mn-ea"/>
              <a:cs typeface="+mn-cs"/>
            </a:rPr>
            <a:pPr marL="0" indent="0" algn="l"/>
            <a:t>8</a:t>
          </a:fld>
          <a:endParaRPr lang="pt-BR" sz="2800" b="1" i="0" u="none" strike="noStrike">
            <a:solidFill>
              <a:srgbClr val="00206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108585</xdr:colOff>
      <xdr:row>5</xdr:row>
      <xdr:rowOff>19526</xdr:rowOff>
    </xdr:from>
    <xdr:to>
      <xdr:col>17</xdr:col>
      <xdr:colOff>390525</xdr:colOff>
      <xdr:row>7</xdr:row>
      <xdr:rowOff>86201</xdr:rowOff>
    </xdr:to>
    <xdr:sp macro="" textlink="'Indicadores Usinagem'!C41">
      <xdr:nvSpPr>
        <xdr:cNvPr id="72" name="Retângulo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11157585" y="912495"/>
          <a:ext cx="972503" cy="4238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B944EA57-AE28-4FCD-B320-4C04FF7C2CFD}" type="TxLink">
            <a:rPr lang="en-US" sz="2800" b="1" i="0" u="none" strike="noStrike">
              <a:solidFill>
                <a:srgbClr val="C00000"/>
              </a:solidFill>
              <a:latin typeface="Aptos Narrow"/>
              <a:ea typeface="+mn-ea"/>
              <a:cs typeface="+mn-cs"/>
            </a:rPr>
            <a:pPr marL="0" indent="0" algn="l"/>
            <a:t>0</a:t>
          </a:fld>
          <a:endParaRPr lang="pt-BR" sz="2800" b="1" i="0" u="none" strike="noStrike">
            <a:solidFill>
              <a:srgbClr val="C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140494</xdr:colOff>
      <xdr:row>13</xdr:row>
      <xdr:rowOff>2744</xdr:rowOff>
    </xdr:from>
    <xdr:to>
      <xdr:col>3</xdr:col>
      <xdr:colOff>445294</xdr:colOff>
      <xdr:row>16</xdr:row>
      <xdr:rowOff>46674</xdr:rowOff>
    </xdr:to>
    <xdr:sp macro="" textlink="">
      <xdr:nvSpPr>
        <xdr:cNvPr id="73" name="Fluxograma: Fita Perfurada 4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140494" y="2324463"/>
          <a:ext cx="2376488" cy="579711"/>
        </a:xfrm>
        <a:prstGeom prst="flowChartPunchedTape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/>
            <a:t>IND.</a:t>
          </a:r>
          <a:r>
            <a:rPr lang="pt-BR" sz="1600" b="1" baseline="0"/>
            <a:t>DE USINAGEM</a:t>
          </a:r>
          <a:endParaRPr lang="pt-BR" sz="1600" b="1"/>
        </a:p>
      </xdr:txBody>
    </xdr:sp>
    <xdr:clientData/>
  </xdr:twoCellAnchor>
  <xdr:twoCellAnchor>
    <xdr:from>
      <xdr:col>17</xdr:col>
      <xdr:colOff>535781</xdr:colOff>
      <xdr:row>3</xdr:row>
      <xdr:rowOff>33814</xdr:rowOff>
    </xdr:from>
    <xdr:to>
      <xdr:col>20</xdr:col>
      <xdr:colOff>392906</xdr:colOff>
      <xdr:row>7</xdr:row>
      <xdr:rowOff>155734</xdr:rowOff>
    </xdr:to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12275344" y="569595"/>
          <a:ext cx="1928812" cy="836295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Narrow"/>
            </a:rPr>
            <a:t>TOTAL</a:t>
          </a:r>
          <a:r>
            <a:rPr lang="en-US" sz="1200" b="1" i="0" u="none" strike="noStrike" baseline="0">
              <a:solidFill>
                <a:srgbClr val="000000"/>
              </a:solidFill>
              <a:latin typeface="Aptos Narrow"/>
            </a:rPr>
            <a:t> DE PEÇAS MORTAS USIN. OUTROS</a:t>
          </a:r>
          <a:endParaRPr lang="en-US" sz="12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20</xdr:col>
      <xdr:colOff>440532</xdr:colOff>
      <xdr:row>3</xdr:row>
      <xdr:rowOff>31431</xdr:rowOff>
    </xdr:from>
    <xdr:to>
      <xdr:col>23</xdr:col>
      <xdr:colOff>200026</xdr:colOff>
      <xdr:row>7</xdr:row>
      <xdr:rowOff>153351</xdr:rowOff>
    </xdr:to>
    <xdr:sp macro="" textlink="">
      <xdr:nvSpPr>
        <xdr:cNvPr id="75" name="Retângulo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14251782" y="567212"/>
          <a:ext cx="1831182" cy="836295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Narrow"/>
            </a:rPr>
            <a:t>TOTAL DE PEÇAS</a:t>
          </a:r>
          <a:r>
            <a:rPr lang="en-US" sz="1200" b="1" i="0" u="none" strike="noStrike" baseline="0">
              <a:solidFill>
                <a:srgbClr val="000000"/>
              </a:solidFill>
              <a:latin typeface="Aptos Narrow"/>
            </a:rPr>
            <a:t> RETRABALHOS OUTROS</a:t>
          </a:r>
          <a:endParaRPr lang="en-US" sz="12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18</xdr:col>
      <xdr:colOff>606266</xdr:colOff>
      <xdr:row>5</xdr:row>
      <xdr:rowOff>29051</xdr:rowOff>
    </xdr:from>
    <xdr:to>
      <xdr:col>20</xdr:col>
      <xdr:colOff>197644</xdr:colOff>
      <xdr:row>7</xdr:row>
      <xdr:rowOff>95726</xdr:rowOff>
    </xdr:to>
    <xdr:sp macro="" textlink="'Indicadores Usinagem'!C43">
      <xdr:nvSpPr>
        <xdr:cNvPr id="76" name="Retângulo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13036391" y="922020"/>
          <a:ext cx="972503" cy="4238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5FDD0472-3BA2-4A0B-A50D-65BF8B67F8B2}" type="TxLink">
            <a:rPr lang="en-US" sz="2800" b="1" i="0" u="none" strike="noStrike">
              <a:solidFill>
                <a:srgbClr val="C00000"/>
              </a:solidFill>
              <a:latin typeface="Aptos Narrow"/>
              <a:ea typeface="+mn-ea"/>
              <a:cs typeface="+mn-cs"/>
            </a:rPr>
            <a:pPr marL="0" indent="0" algn="l"/>
            <a:t>1</a:t>
          </a:fld>
          <a:endParaRPr lang="pt-BR" sz="2800" b="1" i="0" u="none" strike="noStrike">
            <a:solidFill>
              <a:srgbClr val="C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449102</xdr:colOff>
      <xdr:row>5</xdr:row>
      <xdr:rowOff>14763</xdr:rowOff>
    </xdr:from>
    <xdr:to>
      <xdr:col>23</xdr:col>
      <xdr:colOff>40480</xdr:colOff>
      <xdr:row>7</xdr:row>
      <xdr:rowOff>81438</xdr:rowOff>
    </xdr:to>
    <xdr:sp macro="" textlink="'Indicadores Usinagem'!C37">
      <xdr:nvSpPr>
        <xdr:cNvPr id="77" name="Retângulo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14950915" y="907732"/>
          <a:ext cx="972503" cy="4238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7C52648D-35FE-4A9A-A1C9-16F1C420BC4C}" type="TxLink">
            <a:rPr lang="en-US" sz="2800" b="1" i="0" u="none" strike="noStrike">
              <a:solidFill>
                <a:srgbClr val="C00000"/>
              </a:solidFill>
              <a:latin typeface="Aptos Narrow"/>
              <a:ea typeface="+mn-ea"/>
              <a:cs typeface="+mn-cs"/>
            </a:rPr>
            <a:pPr marL="0" indent="0" algn="l"/>
            <a:t>0</a:t>
          </a:fld>
          <a:endParaRPr lang="pt-BR" sz="2800" b="1" i="0" u="none" strike="noStrike">
            <a:solidFill>
              <a:srgbClr val="C00000"/>
            </a:solidFill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0</xdr:row>
      <xdr:rowOff>32385</xdr:rowOff>
    </xdr:from>
    <xdr:to>
      <xdr:col>5</xdr:col>
      <xdr:colOff>350520</xdr:colOff>
      <xdr:row>0</xdr:row>
      <xdr:rowOff>474345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1071860" y="32385"/>
          <a:ext cx="1661160" cy="441960"/>
        </a:xfrm>
        <a:prstGeom prst="roundRect">
          <a:avLst/>
        </a:prstGeom>
        <a:solidFill>
          <a:srgbClr val="0070C0"/>
        </a:solidFill>
        <a:ln>
          <a:solidFill>
            <a:schemeClr val="bg1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HOME</a:t>
          </a:r>
        </a:p>
      </xdr:txBody>
    </xdr:sp>
    <xdr:clientData/>
  </xdr:twoCellAnchor>
  <xdr:twoCellAnchor editAs="oneCell">
    <xdr:from>
      <xdr:col>0</xdr:col>
      <xdr:colOff>1</xdr:colOff>
      <xdr:row>0</xdr:row>
      <xdr:rowOff>47625</xdr:rowOff>
    </xdr:from>
    <xdr:to>
      <xdr:col>2</xdr:col>
      <xdr:colOff>1</xdr:colOff>
      <xdr:row>0</xdr:row>
      <xdr:rowOff>742950</xdr:rowOff>
    </xdr:to>
    <xdr:pic>
      <xdr:nvPicPr>
        <xdr:cNvPr id="3" name="Imagem 2" descr="Mectrol HIWIN - Automação e Robótica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47625"/>
          <a:ext cx="34480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3</xdr:row>
      <xdr:rowOff>95250</xdr:rowOff>
    </xdr:from>
    <xdr:to>
      <xdr:col>7</xdr:col>
      <xdr:colOff>270510</xdr:colOff>
      <xdr:row>5</xdr:row>
      <xdr:rowOff>165735</xdr:rowOff>
    </xdr:to>
    <xdr:sp macro="" textlink="">
      <xdr:nvSpPr>
        <xdr:cNvPr id="2" name="Retângulo: Cantos Arredondado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372225" y="638175"/>
          <a:ext cx="1584960" cy="441960"/>
        </a:xfrm>
        <a:prstGeom prst="roundRect">
          <a:avLst/>
        </a:prstGeom>
        <a:solidFill>
          <a:srgbClr val="0070C0"/>
        </a:solidFill>
        <a:ln>
          <a:solidFill>
            <a:schemeClr val="bg1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 filterMode="1"/>
  <dimension ref="A1:AG159"/>
  <sheetViews>
    <sheetView tabSelected="1" zoomScale="70" zoomScaleNormal="70" workbookViewId="0">
      <pane ySplit="1" topLeftCell="A89" activePane="bottomLeft" state="frozen"/>
      <selection pane="bottomLeft" activeCell="H3" sqref="H3"/>
    </sheetView>
  </sheetViews>
  <sheetFormatPr defaultColWidth="9" defaultRowHeight="15" x14ac:dyDescent="0.25"/>
  <cols>
    <col min="1" max="1" width="12.140625" style="17" customWidth="1"/>
    <col min="2" max="2" width="11.85546875" style="93" customWidth="1"/>
    <col min="3" max="5" width="14.28515625" style="93" customWidth="1"/>
    <col min="6" max="6" width="10.7109375" style="93" customWidth="1"/>
    <col min="7" max="8" width="11" style="93" customWidth="1"/>
    <col min="9" max="9" width="8.5703125" style="93" customWidth="1"/>
    <col min="10" max="10" width="7.42578125" style="93" customWidth="1"/>
    <col min="11" max="11" width="24.7109375" style="17" customWidth="1"/>
    <col min="12" max="12" width="12.5703125" style="93" customWidth="1"/>
    <col min="13" max="13" width="13.85546875" style="110" customWidth="1"/>
    <col min="14" max="14" width="13.28515625" style="44" customWidth="1"/>
    <col min="15" max="15" width="14.42578125" style="74" bestFit="1" customWidth="1"/>
    <col min="16" max="16" width="15.7109375" style="149" bestFit="1" customWidth="1"/>
    <col min="17" max="23" width="14.7109375" style="150" customWidth="1"/>
    <col min="24" max="24" width="16.42578125" style="149" customWidth="1"/>
    <col min="25" max="25" width="14.7109375" style="151" customWidth="1"/>
    <col min="26" max="26" width="14.7109375" style="152" customWidth="1"/>
    <col min="27" max="27" width="14.7109375" style="149" customWidth="1"/>
    <col min="28" max="28" width="17.140625" style="17" customWidth="1"/>
    <col min="29" max="29" width="12.42578125" style="17" customWidth="1"/>
    <col min="30" max="30" width="12.85546875" style="17" customWidth="1"/>
    <col min="31" max="31" width="13.42578125" style="17" customWidth="1"/>
    <col min="32" max="32" width="82" style="9" customWidth="1"/>
    <col min="33" max="16384" width="9" style="9"/>
  </cols>
  <sheetData>
    <row r="1" spans="1:33" s="84" customFormat="1" ht="47.25" x14ac:dyDescent="0.25">
      <c r="A1" s="75" t="s">
        <v>0</v>
      </c>
      <c r="B1" s="90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2" t="s">
        <v>7</v>
      </c>
      <c r="I1" s="108" t="s">
        <v>8</v>
      </c>
      <c r="J1" s="108" t="s">
        <v>9</v>
      </c>
      <c r="K1" s="75" t="s">
        <v>10</v>
      </c>
      <c r="L1" s="90" t="s">
        <v>11</v>
      </c>
      <c r="M1" s="90" t="s">
        <v>12</v>
      </c>
      <c r="N1" s="88" t="s">
        <v>13</v>
      </c>
      <c r="O1" s="76" t="s">
        <v>14</v>
      </c>
      <c r="P1" s="138" t="s">
        <v>15</v>
      </c>
      <c r="Q1" s="139" t="s">
        <v>16</v>
      </c>
      <c r="R1" s="139" t="s">
        <v>17</v>
      </c>
      <c r="S1" s="139" t="s">
        <v>18</v>
      </c>
      <c r="T1" s="140" t="s">
        <v>19</v>
      </c>
      <c r="U1" s="139" t="s">
        <v>20</v>
      </c>
      <c r="V1" s="139" t="s">
        <v>21</v>
      </c>
      <c r="W1" s="139" t="s">
        <v>22</v>
      </c>
      <c r="X1" s="157" t="s">
        <v>23</v>
      </c>
      <c r="Y1" s="141" t="s">
        <v>24</v>
      </c>
      <c r="Z1" s="142" t="s">
        <v>25</v>
      </c>
      <c r="AA1" s="138" t="s">
        <v>26</v>
      </c>
      <c r="AB1" s="75" t="s">
        <v>27</v>
      </c>
      <c r="AC1" s="75" t="s">
        <v>28</v>
      </c>
      <c r="AD1" s="75" t="s">
        <v>29</v>
      </c>
      <c r="AE1" s="88" t="s">
        <v>30</v>
      </c>
      <c r="AF1" s="83" t="s">
        <v>31</v>
      </c>
    </row>
    <row r="2" spans="1:33" ht="60" customHeight="1" x14ac:dyDescent="0.25">
      <c r="A2" s="135" t="s">
        <v>32</v>
      </c>
      <c r="B2" s="135"/>
      <c r="C2" s="153"/>
      <c r="D2" s="154"/>
      <c r="E2" s="154"/>
      <c r="F2" s="154"/>
      <c r="G2" s="154"/>
      <c r="H2" s="154"/>
      <c r="I2" s="154"/>
      <c r="J2" s="155"/>
      <c r="K2" s="111" t="s">
        <v>33</v>
      </c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56"/>
      <c r="Y2" s="111"/>
      <c r="Z2" s="111"/>
      <c r="AA2" s="156"/>
      <c r="AB2" s="111"/>
      <c r="AC2" s="111"/>
      <c r="AD2" s="111"/>
      <c r="AE2" s="111"/>
      <c r="AF2" s="111"/>
      <c r="AG2" s="70" t="s">
        <v>34</v>
      </c>
    </row>
    <row r="3" spans="1:33" s="84" customFormat="1" ht="47.25" x14ac:dyDescent="0.25">
      <c r="A3" s="75" t="s">
        <v>0</v>
      </c>
      <c r="B3" s="90" t="s">
        <v>1</v>
      </c>
      <c r="C3" s="112" t="s">
        <v>2</v>
      </c>
      <c r="D3" s="112" t="s">
        <v>3</v>
      </c>
      <c r="E3" s="112" t="s">
        <v>4</v>
      </c>
      <c r="F3" s="112" t="s">
        <v>5</v>
      </c>
      <c r="G3" s="112" t="s">
        <v>7</v>
      </c>
      <c r="H3" s="112" t="s">
        <v>6</v>
      </c>
      <c r="I3" s="108" t="s">
        <v>8</v>
      </c>
      <c r="J3" s="108" t="s">
        <v>9</v>
      </c>
      <c r="K3" s="75" t="s">
        <v>10</v>
      </c>
      <c r="L3" s="90" t="s">
        <v>11</v>
      </c>
      <c r="M3" s="90" t="s">
        <v>12</v>
      </c>
      <c r="N3" s="88" t="s">
        <v>13</v>
      </c>
      <c r="O3" s="76" t="s">
        <v>14</v>
      </c>
      <c r="P3" s="138" t="s">
        <v>15</v>
      </c>
      <c r="Q3" s="139" t="s">
        <v>16</v>
      </c>
      <c r="R3" s="139" t="s">
        <v>17</v>
      </c>
      <c r="S3" s="139" t="s">
        <v>18</v>
      </c>
      <c r="T3" s="140" t="s">
        <v>19</v>
      </c>
      <c r="U3" s="139" t="s">
        <v>20</v>
      </c>
      <c r="V3" s="139" t="s">
        <v>21</v>
      </c>
      <c r="W3" s="139" t="s">
        <v>22</v>
      </c>
      <c r="X3" s="157" t="s">
        <v>23</v>
      </c>
      <c r="Y3" s="141" t="s">
        <v>24</v>
      </c>
      <c r="Z3" s="142" t="s">
        <v>25</v>
      </c>
      <c r="AA3" s="138" t="s">
        <v>26</v>
      </c>
      <c r="AB3" s="75" t="s">
        <v>27</v>
      </c>
      <c r="AC3" s="75" t="s">
        <v>28</v>
      </c>
      <c r="AD3" s="75" t="s">
        <v>29</v>
      </c>
      <c r="AE3" s="88" t="s">
        <v>30</v>
      </c>
      <c r="AF3" s="83" t="s">
        <v>31</v>
      </c>
    </row>
    <row r="4" spans="1:33" s="69" customFormat="1" x14ac:dyDescent="0.25">
      <c r="A4" s="86">
        <v>45597</v>
      </c>
      <c r="B4" s="89" t="s">
        <v>35</v>
      </c>
      <c r="C4" s="85">
        <v>2</v>
      </c>
      <c r="D4" s="85">
        <v>0</v>
      </c>
      <c r="E4" s="85">
        <v>0</v>
      </c>
      <c r="F4" s="85">
        <v>0</v>
      </c>
      <c r="G4" s="85">
        <v>0</v>
      </c>
      <c r="H4" s="85">
        <v>0</v>
      </c>
      <c r="I4" s="85">
        <v>0</v>
      </c>
      <c r="J4" s="85">
        <v>0</v>
      </c>
      <c r="K4" s="85" t="s">
        <v>36</v>
      </c>
      <c r="L4" s="89" t="s">
        <v>37</v>
      </c>
      <c r="M4" s="94" t="s">
        <v>38</v>
      </c>
      <c r="N4" s="77">
        <v>2</v>
      </c>
      <c r="O4" s="78">
        <v>1</v>
      </c>
      <c r="P4" s="79">
        <v>1</v>
      </c>
      <c r="Q4" s="80">
        <v>1</v>
      </c>
      <c r="R4" s="80">
        <v>0</v>
      </c>
      <c r="S4" s="80">
        <v>0</v>
      </c>
      <c r="T4" s="80">
        <v>0</v>
      </c>
      <c r="U4" s="80">
        <v>0</v>
      </c>
      <c r="V4" s="80">
        <v>0</v>
      </c>
      <c r="W4" s="80">
        <v>0</v>
      </c>
      <c r="X4" s="79">
        <v>0</v>
      </c>
      <c r="Y4" s="81">
        <v>1</v>
      </c>
      <c r="Z4" s="82">
        <v>0</v>
      </c>
      <c r="AA4" s="79">
        <v>0</v>
      </c>
      <c r="AB4" s="133">
        <v>45597</v>
      </c>
      <c r="AC4" s="133">
        <v>45597</v>
      </c>
      <c r="AD4" s="136" t="s">
        <v>39</v>
      </c>
      <c r="AE4" s="136" t="s">
        <v>40</v>
      </c>
      <c r="AF4" s="69" t="s">
        <v>41</v>
      </c>
    </row>
    <row r="5" spans="1:33" s="114" customFormat="1" ht="18" customHeight="1" x14ac:dyDescent="0.25">
      <c r="A5" s="89" t="s">
        <v>42</v>
      </c>
      <c r="B5" s="89" t="s">
        <v>43</v>
      </c>
      <c r="C5" s="116">
        <v>0</v>
      </c>
      <c r="D5" s="116">
        <v>0</v>
      </c>
      <c r="E5" s="116">
        <v>0</v>
      </c>
      <c r="F5" s="116">
        <v>1</v>
      </c>
      <c r="G5" s="116">
        <v>0</v>
      </c>
      <c r="H5" s="116">
        <v>0</v>
      </c>
      <c r="I5" s="116">
        <v>0</v>
      </c>
      <c r="J5" s="116">
        <v>0</v>
      </c>
      <c r="K5" s="116" t="s">
        <v>44</v>
      </c>
      <c r="L5" s="89" t="s">
        <v>45</v>
      </c>
      <c r="M5" s="94" t="s">
        <v>46</v>
      </c>
      <c r="N5" s="117">
        <v>1</v>
      </c>
      <c r="O5" s="118">
        <v>1</v>
      </c>
      <c r="P5" s="119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19">
        <v>0</v>
      </c>
      <c r="Y5" s="121">
        <v>0</v>
      </c>
      <c r="Z5" s="122">
        <v>0</v>
      </c>
      <c r="AA5" s="119">
        <v>0</v>
      </c>
      <c r="AB5" s="134" t="s">
        <v>42</v>
      </c>
      <c r="AC5" s="134" t="s">
        <v>42</v>
      </c>
      <c r="AD5" s="137" t="s">
        <v>47</v>
      </c>
      <c r="AE5" s="137" t="s">
        <v>40</v>
      </c>
      <c r="AF5" s="114" t="s">
        <v>48</v>
      </c>
    </row>
    <row r="6" spans="1:33" s="114" customFormat="1" ht="18" customHeight="1" x14ac:dyDescent="0.25">
      <c r="A6" s="89" t="s">
        <v>42</v>
      </c>
      <c r="B6" s="89" t="s">
        <v>49</v>
      </c>
      <c r="C6" s="116">
        <v>0</v>
      </c>
      <c r="D6" s="116">
        <v>0</v>
      </c>
      <c r="E6" s="116">
        <v>0</v>
      </c>
      <c r="F6" s="116">
        <v>1</v>
      </c>
      <c r="G6" s="116">
        <v>0</v>
      </c>
      <c r="H6" s="116">
        <v>0</v>
      </c>
      <c r="I6" s="116">
        <v>0</v>
      </c>
      <c r="J6" s="116">
        <v>0</v>
      </c>
      <c r="K6" s="116" t="s">
        <v>50</v>
      </c>
      <c r="L6" s="89" t="s">
        <v>51</v>
      </c>
      <c r="M6" s="94" t="s">
        <v>52</v>
      </c>
      <c r="N6" s="117">
        <v>1</v>
      </c>
      <c r="O6" s="118">
        <v>1</v>
      </c>
      <c r="P6" s="119">
        <v>0</v>
      </c>
      <c r="Q6" s="120">
        <v>0</v>
      </c>
      <c r="R6" s="120">
        <v>0</v>
      </c>
      <c r="S6" s="120">
        <v>0</v>
      </c>
      <c r="T6" s="120">
        <v>0</v>
      </c>
      <c r="U6" s="120">
        <v>0</v>
      </c>
      <c r="V6" s="120">
        <v>0</v>
      </c>
      <c r="W6" s="120">
        <v>0</v>
      </c>
      <c r="X6" s="119">
        <v>0</v>
      </c>
      <c r="Y6" s="121">
        <v>0</v>
      </c>
      <c r="Z6" s="122">
        <v>0</v>
      </c>
      <c r="AA6" s="119">
        <v>0</v>
      </c>
      <c r="AB6" s="134" t="s">
        <v>42</v>
      </c>
      <c r="AC6" s="134" t="s">
        <v>42</v>
      </c>
      <c r="AD6" s="137" t="s">
        <v>53</v>
      </c>
      <c r="AE6" s="137" t="s">
        <v>40</v>
      </c>
    </row>
    <row r="7" spans="1:33" s="114" customFormat="1" ht="18" customHeight="1" x14ac:dyDescent="0.25">
      <c r="A7" s="89" t="s">
        <v>42</v>
      </c>
      <c r="B7" s="89" t="s">
        <v>54</v>
      </c>
      <c r="C7" s="116">
        <v>0</v>
      </c>
      <c r="D7" s="116">
        <v>0</v>
      </c>
      <c r="E7" s="116">
        <v>0</v>
      </c>
      <c r="F7" s="116">
        <v>8</v>
      </c>
      <c r="G7" s="116">
        <v>0</v>
      </c>
      <c r="H7" s="116">
        <v>0</v>
      </c>
      <c r="I7" s="116">
        <v>0</v>
      </c>
      <c r="J7" s="116">
        <v>0</v>
      </c>
      <c r="K7" s="116" t="s">
        <v>55</v>
      </c>
      <c r="L7" s="89" t="s">
        <v>56</v>
      </c>
      <c r="M7" s="94" t="s">
        <v>57</v>
      </c>
      <c r="N7" s="117">
        <v>8</v>
      </c>
      <c r="O7" s="118">
        <v>8</v>
      </c>
      <c r="P7" s="119">
        <v>0</v>
      </c>
      <c r="Q7" s="120">
        <v>0</v>
      </c>
      <c r="R7" s="120">
        <v>0</v>
      </c>
      <c r="S7" s="120">
        <v>0</v>
      </c>
      <c r="T7" s="120">
        <v>0</v>
      </c>
      <c r="U7" s="120">
        <v>0</v>
      </c>
      <c r="V7" s="120">
        <v>0</v>
      </c>
      <c r="W7" s="120">
        <v>0</v>
      </c>
      <c r="X7" s="119">
        <v>0</v>
      </c>
      <c r="Y7" s="121">
        <v>0</v>
      </c>
      <c r="Z7" s="122">
        <v>0</v>
      </c>
      <c r="AA7" s="119">
        <v>0</v>
      </c>
      <c r="AB7" s="134" t="s">
        <v>42</v>
      </c>
      <c r="AC7" s="134" t="s">
        <v>42</v>
      </c>
      <c r="AD7" s="137" t="s">
        <v>58</v>
      </c>
      <c r="AE7" s="137" t="s">
        <v>40</v>
      </c>
      <c r="AF7" s="114" t="s">
        <v>59</v>
      </c>
    </row>
    <row r="8" spans="1:33" s="114" customFormat="1" ht="18" customHeight="1" x14ac:dyDescent="0.25">
      <c r="A8" s="89" t="s">
        <v>42</v>
      </c>
      <c r="B8" s="89" t="s">
        <v>60</v>
      </c>
      <c r="C8" s="116">
        <v>0</v>
      </c>
      <c r="D8" s="116">
        <v>0</v>
      </c>
      <c r="E8" s="116">
        <v>0</v>
      </c>
      <c r="F8" s="116">
        <v>4</v>
      </c>
      <c r="G8" s="116">
        <v>0</v>
      </c>
      <c r="H8" s="116">
        <v>0</v>
      </c>
      <c r="I8" s="116">
        <v>0</v>
      </c>
      <c r="J8" s="116">
        <v>0</v>
      </c>
      <c r="K8" s="116" t="s">
        <v>55</v>
      </c>
      <c r="L8" s="89" t="s">
        <v>56</v>
      </c>
      <c r="M8" s="94" t="s">
        <v>61</v>
      </c>
      <c r="N8" s="117">
        <v>4</v>
      </c>
      <c r="O8" s="118">
        <v>4</v>
      </c>
      <c r="P8" s="119">
        <v>0</v>
      </c>
      <c r="Q8" s="120">
        <v>0</v>
      </c>
      <c r="R8" s="120">
        <v>0</v>
      </c>
      <c r="S8" s="120">
        <v>0</v>
      </c>
      <c r="T8" s="120">
        <v>0</v>
      </c>
      <c r="U8" s="120">
        <v>0</v>
      </c>
      <c r="V8" s="120">
        <v>0</v>
      </c>
      <c r="W8" s="120">
        <v>0</v>
      </c>
      <c r="X8" s="119">
        <v>0</v>
      </c>
      <c r="Y8" s="121">
        <v>0</v>
      </c>
      <c r="Z8" s="122">
        <v>0</v>
      </c>
      <c r="AA8" s="119">
        <v>0</v>
      </c>
      <c r="AB8" s="134" t="s">
        <v>42</v>
      </c>
      <c r="AC8" s="134" t="s">
        <v>42</v>
      </c>
      <c r="AD8" s="137" t="s">
        <v>58</v>
      </c>
      <c r="AE8" s="137" t="s">
        <v>40</v>
      </c>
      <c r="AF8" s="114" t="s">
        <v>62</v>
      </c>
    </row>
    <row r="9" spans="1:33" s="114" customFormat="1" ht="18" customHeight="1" x14ac:dyDescent="0.25">
      <c r="A9" s="89" t="s">
        <v>42</v>
      </c>
      <c r="B9" s="92" t="s">
        <v>63</v>
      </c>
      <c r="C9" s="116">
        <v>0</v>
      </c>
      <c r="D9" s="116">
        <v>0</v>
      </c>
      <c r="E9" s="116">
        <v>0</v>
      </c>
      <c r="F9" s="116">
        <v>1</v>
      </c>
      <c r="G9" s="116">
        <v>0</v>
      </c>
      <c r="H9" s="116">
        <v>0</v>
      </c>
      <c r="I9" s="116">
        <v>0</v>
      </c>
      <c r="J9" s="116">
        <v>0</v>
      </c>
      <c r="K9" s="116" t="s">
        <v>64</v>
      </c>
      <c r="L9" s="89" t="s">
        <v>65</v>
      </c>
      <c r="M9" s="94" t="s">
        <v>66</v>
      </c>
      <c r="N9" s="117">
        <v>1</v>
      </c>
      <c r="O9" s="118">
        <v>1</v>
      </c>
      <c r="P9" s="119">
        <v>0</v>
      </c>
      <c r="Q9" s="120">
        <v>0</v>
      </c>
      <c r="R9" s="120">
        <v>0</v>
      </c>
      <c r="S9" s="120">
        <v>0</v>
      </c>
      <c r="T9" s="120">
        <v>0</v>
      </c>
      <c r="U9" s="120">
        <v>0</v>
      </c>
      <c r="V9" s="120">
        <v>0</v>
      </c>
      <c r="W9" s="120">
        <v>0</v>
      </c>
      <c r="X9" s="119">
        <v>0</v>
      </c>
      <c r="Y9" s="121">
        <v>0</v>
      </c>
      <c r="Z9" s="122">
        <v>0</v>
      </c>
      <c r="AA9" s="119">
        <v>0</v>
      </c>
      <c r="AB9" s="134" t="s">
        <v>42</v>
      </c>
      <c r="AC9" s="134" t="s">
        <v>42</v>
      </c>
      <c r="AD9" s="137" t="s">
        <v>40</v>
      </c>
      <c r="AE9" s="137" t="s">
        <v>40</v>
      </c>
    </row>
    <row r="10" spans="1:33" s="114" customFormat="1" ht="18" customHeight="1" x14ac:dyDescent="0.25">
      <c r="A10" s="89" t="s">
        <v>67</v>
      </c>
      <c r="B10" s="92" t="s">
        <v>68</v>
      </c>
      <c r="C10" s="116">
        <v>0</v>
      </c>
      <c r="D10" s="116">
        <v>0</v>
      </c>
      <c r="E10" s="116">
        <v>0</v>
      </c>
      <c r="F10" s="116">
        <v>0</v>
      </c>
      <c r="G10" s="116">
        <v>0</v>
      </c>
      <c r="H10" s="116">
        <v>0</v>
      </c>
      <c r="I10" s="116">
        <v>2</v>
      </c>
      <c r="J10" s="116">
        <v>0</v>
      </c>
      <c r="K10" s="116" t="s">
        <v>69</v>
      </c>
      <c r="L10" s="89" t="s">
        <v>70</v>
      </c>
      <c r="M10" s="94" t="s">
        <v>71</v>
      </c>
      <c r="N10" s="117">
        <v>2</v>
      </c>
      <c r="O10" s="118">
        <v>2</v>
      </c>
      <c r="P10" s="119">
        <v>0</v>
      </c>
      <c r="Q10" s="120">
        <v>0</v>
      </c>
      <c r="R10" s="120">
        <v>0</v>
      </c>
      <c r="S10" s="120">
        <v>0</v>
      </c>
      <c r="T10" s="120">
        <v>0</v>
      </c>
      <c r="U10" s="120">
        <v>0</v>
      </c>
      <c r="V10" s="120">
        <v>0</v>
      </c>
      <c r="W10" s="120">
        <v>0</v>
      </c>
      <c r="X10" s="119">
        <v>0</v>
      </c>
      <c r="Y10" s="121">
        <v>0</v>
      </c>
      <c r="Z10" s="122">
        <v>0</v>
      </c>
      <c r="AA10" s="119">
        <v>0</v>
      </c>
      <c r="AB10" s="134" t="s">
        <v>67</v>
      </c>
      <c r="AC10" s="134" t="s">
        <v>67</v>
      </c>
      <c r="AD10" s="137" t="s">
        <v>72</v>
      </c>
      <c r="AE10" s="137" t="s">
        <v>40</v>
      </c>
      <c r="AF10" s="114" t="s">
        <v>73</v>
      </c>
    </row>
    <row r="11" spans="1:33" s="114" customFormat="1" x14ac:dyDescent="0.25">
      <c r="A11" s="89" t="s">
        <v>67</v>
      </c>
      <c r="B11" s="89" t="s">
        <v>74</v>
      </c>
      <c r="C11" s="116">
        <v>0</v>
      </c>
      <c r="D11" s="116">
        <v>0</v>
      </c>
      <c r="E11" s="116">
        <v>0</v>
      </c>
      <c r="F11" s="116">
        <v>2</v>
      </c>
      <c r="G11" s="116">
        <v>0</v>
      </c>
      <c r="H11" s="116">
        <v>0</v>
      </c>
      <c r="I11" s="116">
        <v>0</v>
      </c>
      <c r="J11" s="116">
        <v>0</v>
      </c>
      <c r="K11" s="116" t="s">
        <v>75</v>
      </c>
      <c r="L11" s="89" t="s">
        <v>76</v>
      </c>
      <c r="M11" s="94" t="s">
        <v>77</v>
      </c>
      <c r="N11" s="117">
        <v>2</v>
      </c>
      <c r="O11" s="118">
        <v>2</v>
      </c>
      <c r="P11" s="119">
        <v>0</v>
      </c>
      <c r="Q11" s="120">
        <v>0</v>
      </c>
      <c r="R11" s="120">
        <v>0</v>
      </c>
      <c r="S11" s="120">
        <v>0</v>
      </c>
      <c r="T11" s="120">
        <v>0</v>
      </c>
      <c r="U11" s="120">
        <v>0</v>
      </c>
      <c r="V11" s="120">
        <v>0</v>
      </c>
      <c r="W11" s="120">
        <v>0</v>
      </c>
      <c r="X11" s="119">
        <v>0</v>
      </c>
      <c r="Y11" s="121">
        <v>0</v>
      </c>
      <c r="Z11" s="122">
        <v>0</v>
      </c>
      <c r="AA11" s="119">
        <v>0</v>
      </c>
      <c r="AB11" s="134" t="s">
        <v>67</v>
      </c>
      <c r="AC11" s="134" t="s">
        <v>67</v>
      </c>
      <c r="AD11" s="137" t="s">
        <v>72</v>
      </c>
      <c r="AE11" s="137" t="s">
        <v>40</v>
      </c>
    </row>
    <row r="12" spans="1:33" s="114" customFormat="1" x14ac:dyDescent="0.25">
      <c r="A12" s="89" t="s">
        <v>67</v>
      </c>
      <c r="B12" s="89" t="s">
        <v>78</v>
      </c>
      <c r="C12" s="116">
        <v>0</v>
      </c>
      <c r="D12" s="116">
        <v>0</v>
      </c>
      <c r="E12" s="116">
        <v>0</v>
      </c>
      <c r="F12" s="116">
        <v>2</v>
      </c>
      <c r="G12" s="116">
        <v>0</v>
      </c>
      <c r="H12" s="116">
        <v>0</v>
      </c>
      <c r="I12" s="116">
        <v>0</v>
      </c>
      <c r="J12" s="116">
        <v>0</v>
      </c>
      <c r="K12" s="116" t="s">
        <v>79</v>
      </c>
      <c r="L12" s="89" t="s">
        <v>80</v>
      </c>
      <c r="M12" s="94" t="s">
        <v>81</v>
      </c>
      <c r="N12" s="117">
        <v>2</v>
      </c>
      <c r="O12" s="118">
        <v>2</v>
      </c>
      <c r="P12" s="119">
        <v>0</v>
      </c>
      <c r="Q12" s="120">
        <v>0</v>
      </c>
      <c r="R12" s="120">
        <v>0</v>
      </c>
      <c r="S12" s="120">
        <v>0</v>
      </c>
      <c r="T12" s="120">
        <v>0</v>
      </c>
      <c r="U12" s="120">
        <v>0</v>
      </c>
      <c r="V12" s="120">
        <v>0</v>
      </c>
      <c r="W12" s="120">
        <v>0</v>
      </c>
      <c r="X12" s="119">
        <v>0</v>
      </c>
      <c r="Y12" s="121">
        <v>0</v>
      </c>
      <c r="Z12" s="122">
        <v>0</v>
      </c>
      <c r="AA12" s="119">
        <v>0</v>
      </c>
      <c r="AB12" s="134" t="s">
        <v>67</v>
      </c>
      <c r="AC12" s="134" t="s">
        <v>67</v>
      </c>
      <c r="AD12" s="137" t="s">
        <v>72</v>
      </c>
      <c r="AE12" s="137" t="s">
        <v>40</v>
      </c>
    </row>
    <row r="13" spans="1:33" s="114" customFormat="1" x14ac:dyDescent="0.25">
      <c r="A13" s="89" t="s">
        <v>67</v>
      </c>
      <c r="B13" s="89" t="s">
        <v>82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2</v>
      </c>
      <c r="J13" s="116">
        <v>0</v>
      </c>
      <c r="K13" s="116" t="s">
        <v>83</v>
      </c>
      <c r="L13" s="89" t="s">
        <v>84</v>
      </c>
      <c r="M13" s="94" t="s">
        <v>85</v>
      </c>
      <c r="N13" s="117">
        <v>2</v>
      </c>
      <c r="O13" s="118">
        <v>2</v>
      </c>
      <c r="P13" s="119">
        <v>0</v>
      </c>
      <c r="Q13" s="120">
        <v>0</v>
      </c>
      <c r="R13" s="120">
        <v>0</v>
      </c>
      <c r="S13" s="120">
        <v>0</v>
      </c>
      <c r="T13" s="120">
        <v>0</v>
      </c>
      <c r="U13" s="120">
        <v>0</v>
      </c>
      <c r="V13" s="120">
        <v>0</v>
      </c>
      <c r="W13" s="120">
        <v>0</v>
      </c>
      <c r="X13" s="119">
        <v>0</v>
      </c>
      <c r="Y13" s="121">
        <v>0</v>
      </c>
      <c r="Z13" s="122">
        <v>0</v>
      </c>
      <c r="AA13" s="119">
        <v>0</v>
      </c>
      <c r="AB13" s="134" t="s">
        <v>67</v>
      </c>
      <c r="AC13" s="134" t="s">
        <v>67</v>
      </c>
      <c r="AD13" s="137" t="s">
        <v>72</v>
      </c>
      <c r="AE13" s="137" t="s">
        <v>40</v>
      </c>
      <c r="AF13" s="114" t="s">
        <v>86</v>
      </c>
    </row>
    <row r="14" spans="1:33" s="114" customFormat="1" x14ac:dyDescent="0.25">
      <c r="A14" s="89" t="s">
        <v>67</v>
      </c>
      <c r="B14" s="89" t="s">
        <v>87</v>
      </c>
      <c r="C14" s="116">
        <v>0</v>
      </c>
      <c r="D14" s="116">
        <v>1</v>
      </c>
      <c r="E14" s="158">
        <v>1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 t="s">
        <v>88</v>
      </c>
      <c r="L14" s="89" t="s">
        <v>89</v>
      </c>
      <c r="M14" s="94" t="s">
        <v>90</v>
      </c>
      <c r="N14" s="117">
        <v>1</v>
      </c>
      <c r="O14" s="118">
        <v>1</v>
      </c>
      <c r="P14" s="119">
        <v>0</v>
      </c>
      <c r="Q14" s="120">
        <v>0</v>
      </c>
      <c r="R14" s="120">
        <v>0</v>
      </c>
      <c r="S14" s="120">
        <v>0</v>
      </c>
      <c r="T14" s="120">
        <v>0</v>
      </c>
      <c r="U14" s="120">
        <v>0</v>
      </c>
      <c r="V14" s="120">
        <v>0</v>
      </c>
      <c r="W14" s="120">
        <v>0</v>
      </c>
      <c r="X14" s="119">
        <v>0</v>
      </c>
      <c r="Y14" s="121">
        <v>0</v>
      </c>
      <c r="Z14" s="122">
        <v>0</v>
      </c>
      <c r="AA14" s="119">
        <v>0</v>
      </c>
      <c r="AB14" s="134" t="s">
        <v>67</v>
      </c>
      <c r="AC14" s="134" t="s">
        <v>67</v>
      </c>
      <c r="AD14" s="137" t="s">
        <v>72</v>
      </c>
      <c r="AE14" s="137" t="s">
        <v>40</v>
      </c>
      <c r="AF14" s="114" t="s">
        <v>91</v>
      </c>
    </row>
    <row r="15" spans="1:33" s="114" customFormat="1" x14ac:dyDescent="0.25">
      <c r="A15" s="89" t="s">
        <v>67</v>
      </c>
      <c r="B15" s="89" t="s">
        <v>92</v>
      </c>
      <c r="C15" s="116">
        <v>0</v>
      </c>
      <c r="D15" s="116">
        <v>0</v>
      </c>
      <c r="E15" s="116">
        <v>0</v>
      </c>
      <c r="F15" s="116">
        <v>0</v>
      </c>
      <c r="G15" s="116">
        <v>2</v>
      </c>
      <c r="H15" s="116">
        <v>0</v>
      </c>
      <c r="I15" s="116">
        <v>0</v>
      </c>
      <c r="J15" s="116">
        <v>0</v>
      </c>
      <c r="K15" s="116" t="s">
        <v>93</v>
      </c>
      <c r="L15" s="89" t="s">
        <v>94</v>
      </c>
      <c r="M15" s="94" t="s">
        <v>95</v>
      </c>
      <c r="N15" s="117">
        <v>2</v>
      </c>
      <c r="O15" s="118">
        <v>1</v>
      </c>
      <c r="P15" s="119">
        <v>1</v>
      </c>
      <c r="Q15" s="120">
        <v>1</v>
      </c>
      <c r="R15" s="120">
        <v>0</v>
      </c>
      <c r="S15" s="120">
        <v>0</v>
      </c>
      <c r="T15" s="120">
        <v>0</v>
      </c>
      <c r="U15" s="120">
        <v>0</v>
      </c>
      <c r="V15" s="120">
        <v>0</v>
      </c>
      <c r="W15" s="120">
        <v>0</v>
      </c>
      <c r="X15" s="119">
        <v>0</v>
      </c>
      <c r="Y15" s="121">
        <v>1</v>
      </c>
      <c r="Z15" s="122">
        <v>0</v>
      </c>
      <c r="AA15" s="119">
        <v>0</v>
      </c>
      <c r="AB15" s="134" t="s">
        <v>67</v>
      </c>
      <c r="AC15" s="134" t="s">
        <v>67</v>
      </c>
      <c r="AD15" s="137" t="s">
        <v>72</v>
      </c>
      <c r="AE15" s="137" t="s">
        <v>40</v>
      </c>
      <c r="AF15" s="114" t="s">
        <v>96</v>
      </c>
    </row>
    <row r="16" spans="1:33" s="114" customFormat="1" ht="18" customHeight="1" x14ac:dyDescent="0.25">
      <c r="A16" s="89" t="s">
        <v>67</v>
      </c>
      <c r="B16" s="91" t="s">
        <v>97</v>
      </c>
      <c r="C16" s="116">
        <v>0</v>
      </c>
      <c r="D16" s="116">
        <v>0</v>
      </c>
      <c r="E16" s="116">
        <v>0</v>
      </c>
      <c r="F16" s="116">
        <v>2</v>
      </c>
      <c r="G16" s="116">
        <v>0</v>
      </c>
      <c r="H16" s="116">
        <v>0</v>
      </c>
      <c r="I16" s="116">
        <v>0</v>
      </c>
      <c r="J16" s="116">
        <v>0</v>
      </c>
      <c r="K16" s="116" t="s">
        <v>98</v>
      </c>
      <c r="L16" s="89" t="s">
        <v>99</v>
      </c>
      <c r="M16" s="94" t="s">
        <v>100</v>
      </c>
      <c r="N16" s="117">
        <v>2</v>
      </c>
      <c r="O16" s="118">
        <v>2</v>
      </c>
      <c r="P16" s="119">
        <v>0</v>
      </c>
      <c r="Q16" s="120">
        <v>0</v>
      </c>
      <c r="R16" s="120">
        <v>0</v>
      </c>
      <c r="S16" s="120">
        <v>0</v>
      </c>
      <c r="T16" s="120">
        <v>0</v>
      </c>
      <c r="U16" s="120">
        <v>0</v>
      </c>
      <c r="V16" s="120">
        <v>0</v>
      </c>
      <c r="W16" s="120">
        <v>0</v>
      </c>
      <c r="X16" s="119">
        <v>0</v>
      </c>
      <c r="Y16" s="121">
        <v>0</v>
      </c>
      <c r="Z16" s="122">
        <v>0</v>
      </c>
      <c r="AA16" s="119">
        <v>0</v>
      </c>
      <c r="AB16" s="134" t="s">
        <v>67</v>
      </c>
      <c r="AC16" s="134" t="s">
        <v>67</v>
      </c>
      <c r="AD16" s="137" t="s">
        <v>72</v>
      </c>
      <c r="AE16" s="137" t="s">
        <v>40</v>
      </c>
      <c r="AF16" s="114" t="s">
        <v>101</v>
      </c>
    </row>
    <row r="17" spans="1:32" s="114" customFormat="1" ht="18" customHeight="1" x14ac:dyDescent="0.25">
      <c r="A17" s="89" t="s">
        <v>102</v>
      </c>
      <c r="B17" s="92" t="s">
        <v>103</v>
      </c>
      <c r="C17" s="116">
        <v>0</v>
      </c>
      <c r="D17" s="116">
        <v>0</v>
      </c>
      <c r="E17" s="116">
        <v>0</v>
      </c>
      <c r="F17" s="116">
        <v>1</v>
      </c>
      <c r="G17" s="116">
        <v>0</v>
      </c>
      <c r="H17" s="116">
        <v>0</v>
      </c>
      <c r="I17" s="116">
        <v>0</v>
      </c>
      <c r="J17" s="116">
        <v>0</v>
      </c>
      <c r="K17" s="116" t="s">
        <v>104</v>
      </c>
      <c r="L17" s="89" t="s">
        <v>105</v>
      </c>
      <c r="M17" s="94" t="s">
        <v>106</v>
      </c>
      <c r="N17" s="117">
        <v>1</v>
      </c>
      <c r="O17" s="118">
        <v>1</v>
      </c>
      <c r="P17" s="119">
        <v>0</v>
      </c>
      <c r="Q17" s="120">
        <v>0</v>
      </c>
      <c r="R17" s="120">
        <v>0</v>
      </c>
      <c r="S17" s="120">
        <v>0</v>
      </c>
      <c r="T17" s="120">
        <v>0</v>
      </c>
      <c r="U17" s="120">
        <v>0</v>
      </c>
      <c r="V17" s="120">
        <v>0</v>
      </c>
      <c r="W17" s="120">
        <v>0</v>
      </c>
      <c r="X17" s="119">
        <v>0</v>
      </c>
      <c r="Y17" s="121">
        <v>0</v>
      </c>
      <c r="Z17" s="122">
        <v>0</v>
      </c>
      <c r="AA17" s="119">
        <v>0</v>
      </c>
      <c r="AB17" s="89" t="s">
        <v>102</v>
      </c>
      <c r="AC17" s="89" t="s">
        <v>102</v>
      </c>
      <c r="AD17" s="137" t="s">
        <v>72</v>
      </c>
      <c r="AE17" s="137" t="s">
        <v>40</v>
      </c>
      <c r="AF17" s="114" t="s">
        <v>107</v>
      </c>
    </row>
    <row r="18" spans="1:32" s="114" customFormat="1" ht="18" customHeight="1" x14ac:dyDescent="0.25">
      <c r="A18" s="89" t="s">
        <v>102</v>
      </c>
      <c r="B18" s="89" t="s">
        <v>108</v>
      </c>
      <c r="C18" s="116">
        <v>1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 t="s">
        <v>109</v>
      </c>
      <c r="L18" s="89" t="s">
        <v>110</v>
      </c>
      <c r="M18" s="94" t="s">
        <v>111</v>
      </c>
      <c r="N18" s="117">
        <v>1</v>
      </c>
      <c r="O18" s="118">
        <v>1</v>
      </c>
      <c r="P18" s="119">
        <v>0</v>
      </c>
      <c r="Q18" s="120">
        <v>0</v>
      </c>
      <c r="R18" s="120">
        <v>0</v>
      </c>
      <c r="S18" s="120">
        <v>0</v>
      </c>
      <c r="T18" s="120">
        <v>0</v>
      </c>
      <c r="U18" s="120">
        <v>0</v>
      </c>
      <c r="V18" s="120">
        <v>0</v>
      </c>
      <c r="W18" s="120">
        <v>0</v>
      </c>
      <c r="X18" s="119">
        <v>0</v>
      </c>
      <c r="Y18" s="121">
        <v>0</v>
      </c>
      <c r="Z18" s="122">
        <v>0</v>
      </c>
      <c r="AA18" s="119">
        <v>0</v>
      </c>
      <c r="AB18" s="89" t="s">
        <v>102</v>
      </c>
      <c r="AC18" s="89" t="s">
        <v>102</v>
      </c>
      <c r="AD18" s="137" t="s">
        <v>40</v>
      </c>
      <c r="AE18" s="137" t="s">
        <v>40</v>
      </c>
    </row>
    <row r="19" spans="1:32" s="114" customFormat="1" ht="18" customHeight="1" x14ac:dyDescent="0.25">
      <c r="A19" s="89" t="s">
        <v>102</v>
      </c>
      <c r="B19" s="91" t="s">
        <v>112</v>
      </c>
      <c r="C19" s="116">
        <v>0</v>
      </c>
      <c r="D19" s="116">
        <v>0</v>
      </c>
      <c r="E19" s="116">
        <v>0</v>
      </c>
      <c r="F19" s="116">
        <v>0</v>
      </c>
      <c r="G19" s="116">
        <v>5</v>
      </c>
      <c r="H19" s="116">
        <v>0</v>
      </c>
      <c r="I19" s="116">
        <v>0</v>
      </c>
      <c r="J19" s="116">
        <v>0</v>
      </c>
      <c r="K19" s="116" t="s">
        <v>113</v>
      </c>
      <c r="L19" s="89" t="s">
        <v>114</v>
      </c>
      <c r="M19" s="94" t="s">
        <v>115</v>
      </c>
      <c r="N19" s="117">
        <v>5</v>
      </c>
      <c r="O19" s="118">
        <v>5</v>
      </c>
      <c r="P19" s="119">
        <v>0</v>
      </c>
      <c r="Q19" s="120">
        <v>0</v>
      </c>
      <c r="R19" s="120">
        <v>0</v>
      </c>
      <c r="S19" s="120">
        <v>0</v>
      </c>
      <c r="T19" s="120">
        <v>0</v>
      </c>
      <c r="U19" s="120">
        <v>0</v>
      </c>
      <c r="V19" s="120">
        <v>0</v>
      </c>
      <c r="W19" s="120">
        <v>0</v>
      </c>
      <c r="X19" s="119">
        <v>0</v>
      </c>
      <c r="Y19" s="121">
        <v>0</v>
      </c>
      <c r="Z19" s="122">
        <v>0</v>
      </c>
      <c r="AA19" s="119">
        <v>0</v>
      </c>
      <c r="AB19" s="89" t="s">
        <v>102</v>
      </c>
      <c r="AC19" s="89" t="s">
        <v>102</v>
      </c>
      <c r="AD19" s="137" t="s">
        <v>72</v>
      </c>
      <c r="AE19" s="137" t="s">
        <v>40</v>
      </c>
    </row>
    <row r="20" spans="1:32" s="170" customFormat="1" ht="18" customHeight="1" x14ac:dyDescent="0.25">
      <c r="A20" s="160" t="s">
        <v>102</v>
      </c>
      <c r="B20" s="172" t="s">
        <v>116</v>
      </c>
      <c r="C20" s="158">
        <v>0</v>
      </c>
      <c r="D20" s="158">
        <v>0</v>
      </c>
      <c r="E20" s="158">
        <v>0</v>
      </c>
      <c r="F20" s="158">
        <v>1</v>
      </c>
      <c r="G20" s="158">
        <v>0</v>
      </c>
      <c r="H20" s="158">
        <v>0</v>
      </c>
      <c r="I20" s="158">
        <v>0</v>
      </c>
      <c r="J20" s="158">
        <v>0</v>
      </c>
      <c r="K20" s="158" t="s">
        <v>104</v>
      </c>
      <c r="L20" s="160" t="s">
        <v>105</v>
      </c>
      <c r="M20" s="161" t="s">
        <v>117</v>
      </c>
      <c r="N20" s="162">
        <v>1</v>
      </c>
      <c r="O20" s="163">
        <v>0</v>
      </c>
      <c r="P20" s="164">
        <v>1</v>
      </c>
      <c r="Q20" s="165">
        <v>1</v>
      </c>
      <c r="R20" s="165">
        <v>0</v>
      </c>
      <c r="S20" s="165">
        <v>0</v>
      </c>
      <c r="T20" s="165">
        <v>0</v>
      </c>
      <c r="U20" s="165">
        <v>0</v>
      </c>
      <c r="V20" s="165">
        <v>0</v>
      </c>
      <c r="W20" s="165">
        <v>0</v>
      </c>
      <c r="X20" s="164">
        <v>0</v>
      </c>
      <c r="Y20" s="166">
        <v>1</v>
      </c>
      <c r="Z20" s="167">
        <v>0</v>
      </c>
      <c r="AA20" s="164">
        <v>0</v>
      </c>
      <c r="AB20" s="160" t="s">
        <v>102</v>
      </c>
      <c r="AC20" s="160" t="s">
        <v>102</v>
      </c>
      <c r="AD20" s="169" t="s">
        <v>72</v>
      </c>
      <c r="AE20" s="169" t="s">
        <v>40</v>
      </c>
      <c r="AF20" s="170" t="s">
        <v>118</v>
      </c>
    </row>
    <row r="21" spans="1:32" s="114" customFormat="1" ht="18" customHeight="1" x14ac:dyDescent="0.25">
      <c r="A21" s="89" t="s">
        <v>102</v>
      </c>
      <c r="B21" s="89" t="s">
        <v>119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2</v>
      </c>
      <c r="J21" s="116">
        <v>0</v>
      </c>
      <c r="K21" s="116" t="s">
        <v>120</v>
      </c>
      <c r="L21" s="89" t="s">
        <v>121</v>
      </c>
      <c r="M21" s="94" t="s">
        <v>122</v>
      </c>
      <c r="N21" s="117">
        <v>2</v>
      </c>
      <c r="O21" s="118">
        <v>2</v>
      </c>
      <c r="P21" s="119">
        <v>0</v>
      </c>
      <c r="Q21" s="120">
        <v>0</v>
      </c>
      <c r="R21" s="120">
        <v>0</v>
      </c>
      <c r="S21" s="120">
        <v>0</v>
      </c>
      <c r="T21" s="120">
        <v>0</v>
      </c>
      <c r="U21" s="120">
        <v>0</v>
      </c>
      <c r="V21" s="120">
        <v>0</v>
      </c>
      <c r="W21" s="120">
        <v>0</v>
      </c>
      <c r="X21" s="119">
        <v>0</v>
      </c>
      <c r="Y21" s="121">
        <v>0</v>
      </c>
      <c r="Z21" s="122">
        <v>0</v>
      </c>
      <c r="AA21" s="119">
        <v>0</v>
      </c>
      <c r="AB21" s="134" t="s">
        <v>102</v>
      </c>
      <c r="AC21" s="134" t="s">
        <v>102</v>
      </c>
      <c r="AD21" s="137" t="s">
        <v>72</v>
      </c>
      <c r="AE21" s="137" t="s">
        <v>40</v>
      </c>
      <c r="AF21" s="114" t="s">
        <v>123</v>
      </c>
    </row>
    <row r="22" spans="1:32" s="114" customFormat="1" ht="18" customHeight="1" x14ac:dyDescent="0.25">
      <c r="A22" s="89" t="s">
        <v>102</v>
      </c>
      <c r="B22" s="89" t="s">
        <v>124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2</v>
      </c>
      <c r="J22" s="116">
        <v>0</v>
      </c>
      <c r="K22" s="116" t="s">
        <v>120</v>
      </c>
      <c r="L22" s="89" t="s">
        <v>121</v>
      </c>
      <c r="M22" s="94" t="s">
        <v>125</v>
      </c>
      <c r="N22" s="117">
        <v>2</v>
      </c>
      <c r="O22" s="118">
        <v>2</v>
      </c>
      <c r="P22" s="119">
        <v>0</v>
      </c>
      <c r="Q22" s="120">
        <v>0</v>
      </c>
      <c r="R22" s="120">
        <v>0</v>
      </c>
      <c r="S22" s="120">
        <v>0</v>
      </c>
      <c r="T22" s="120">
        <v>0</v>
      </c>
      <c r="U22" s="120">
        <v>0</v>
      </c>
      <c r="V22" s="120">
        <v>0</v>
      </c>
      <c r="W22" s="120">
        <v>0</v>
      </c>
      <c r="X22" s="119">
        <v>0</v>
      </c>
      <c r="Y22" s="121">
        <v>0</v>
      </c>
      <c r="Z22" s="122">
        <v>0</v>
      </c>
      <c r="AA22" s="119">
        <v>0</v>
      </c>
      <c r="AB22" s="134" t="s">
        <v>102</v>
      </c>
      <c r="AC22" s="134" t="s">
        <v>102</v>
      </c>
      <c r="AD22" s="137" t="s">
        <v>72</v>
      </c>
      <c r="AE22" s="137" t="s">
        <v>40</v>
      </c>
    </row>
    <row r="23" spans="1:32" s="114" customFormat="1" ht="18" customHeight="1" x14ac:dyDescent="0.25">
      <c r="A23" s="89" t="s">
        <v>102</v>
      </c>
      <c r="B23" s="89" t="s">
        <v>126</v>
      </c>
      <c r="C23" s="116">
        <v>1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 t="s">
        <v>127</v>
      </c>
      <c r="L23" s="89" t="s">
        <v>128</v>
      </c>
      <c r="M23" s="94" t="s">
        <v>129</v>
      </c>
      <c r="N23" s="117">
        <v>1</v>
      </c>
      <c r="O23" s="118">
        <v>1</v>
      </c>
      <c r="P23" s="119">
        <v>0</v>
      </c>
      <c r="Q23" s="120">
        <v>0</v>
      </c>
      <c r="R23" s="120">
        <v>0</v>
      </c>
      <c r="S23" s="120">
        <v>0</v>
      </c>
      <c r="T23" s="120">
        <v>0</v>
      </c>
      <c r="U23" s="120">
        <v>0</v>
      </c>
      <c r="V23" s="120">
        <v>0</v>
      </c>
      <c r="W23" s="120">
        <v>0</v>
      </c>
      <c r="X23" s="119">
        <v>0</v>
      </c>
      <c r="Y23" s="121">
        <v>0</v>
      </c>
      <c r="Z23" s="122">
        <v>0</v>
      </c>
      <c r="AA23" s="119">
        <v>0</v>
      </c>
      <c r="AB23" s="134"/>
      <c r="AC23" s="134" t="s">
        <v>102</v>
      </c>
      <c r="AD23" s="137" t="s">
        <v>39</v>
      </c>
      <c r="AE23" s="137" t="s">
        <v>40</v>
      </c>
    </row>
    <row r="24" spans="1:32" s="170" customFormat="1" ht="18" customHeight="1" x14ac:dyDescent="0.25">
      <c r="A24" s="160" t="s">
        <v>102</v>
      </c>
      <c r="B24" s="160" t="s">
        <v>130</v>
      </c>
      <c r="C24" s="158">
        <v>0</v>
      </c>
      <c r="D24" s="158">
        <v>0</v>
      </c>
      <c r="E24" s="158">
        <v>0</v>
      </c>
      <c r="F24" s="158">
        <v>0</v>
      </c>
      <c r="G24" s="158">
        <v>0</v>
      </c>
      <c r="H24" s="158">
        <v>0</v>
      </c>
      <c r="I24" s="158">
        <v>3</v>
      </c>
      <c r="J24" s="158">
        <v>0</v>
      </c>
      <c r="K24" s="158" t="s">
        <v>131</v>
      </c>
      <c r="L24" s="160" t="s">
        <v>132</v>
      </c>
      <c r="M24" s="161" t="s">
        <v>133</v>
      </c>
      <c r="N24" s="162">
        <v>3</v>
      </c>
      <c r="O24" s="163">
        <v>2</v>
      </c>
      <c r="P24" s="164">
        <v>1</v>
      </c>
      <c r="Q24" s="165">
        <v>0</v>
      </c>
      <c r="R24" s="165">
        <v>0</v>
      </c>
      <c r="S24" s="165">
        <v>0</v>
      </c>
      <c r="T24" s="165">
        <v>0</v>
      </c>
      <c r="U24" s="165">
        <v>1</v>
      </c>
      <c r="V24" s="165">
        <v>0</v>
      </c>
      <c r="W24" s="165">
        <v>0</v>
      </c>
      <c r="X24" s="164">
        <v>0</v>
      </c>
      <c r="Y24" s="166">
        <v>0</v>
      </c>
      <c r="Z24" s="167">
        <v>1</v>
      </c>
      <c r="AA24" s="164">
        <v>0</v>
      </c>
      <c r="AB24" s="168" t="s">
        <v>102</v>
      </c>
      <c r="AC24" s="168" t="s">
        <v>102</v>
      </c>
      <c r="AD24" s="169" t="s">
        <v>40</v>
      </c>
      <c r="AE24" s="169" t="s">
        <v>40</v>
      </c>
      <c r="AF24" s="170" t="s">
        <v>134</v>
      </c>
    </row>
    <row r="25" spans="1:32" s="114" customFormat="1" ht="18" customHeight="1" x14ac:dyDescent="0.25">
      <c r="A25" s="89" t="s">
        <v>135</v>
      </c>
      <c r="B25" s="89" t="s">
        <v>136</v>
      </c>
      <c r="C25" s="116">
        <v>0</v>
      </c>
      <c r="D25" s="116">
        <v>0</v>
      </c>
      <c r="E25" s="116">
        <v>0</v>
      </c>
      <c r="F25" s="116">
        <v>1</v>
      </c>
      <c r="G25" s="116">
        <v>0</v>
      </c>
      <c r="H25" s="116">
        <v>0</v>
      </c>
      <c r="I25" s="116">
        <v>0</v>
      </c>
      <c r="J25" s="116">
        <v>0</v>
      </c>
      <c r="K25" s="116" t="s">
        <v>137</v>
      </c>
      <c r="L25" s="89" t="s">
        <v>138</v>
      </c>
      <c r="M25" s="94" t="s">
        <v>139</v>
      </c>
      <c r="N25" s="117">
        <v>1</v>
      </c>
      <c r="O25" s="118">
        <v>1</v>
      </c>
      <c r="P25" s="119">
        <v>0</v>
      </c>
      <c r="Q25" s="120">
        <v>0</v>
      </c>
      <c r="R25" s="120">
        <v>0</v>
      </c>
      <c r="S25" s="120">
        <v>0</v>
      </c>
      <c r="T25" s="120">
        <v>0</v>
      </c>
      <c r="U25" s="120">
        <v>0</v>
      </c>
      <c r="V25" s="120">
        <v>0</v>
      </c>
      <c r="W25" s="120">
        <v>0</v>
      </c>
      <c r="X25" s="119">
        <v>0</v>
      </c>
      <c r="Y25" s="121">
        <v>0</v>
      </c>
      <c r="Z25" s="122">
        <v>0</v>
      </c>
      <c r="AA25" s="119">
        <v>0</v>
      </c>
      <c r="AB25" s="134" t="s">
        <v>102</v>
      </c>
      <c r="AC25" s="134" t="s">
        <v>102</v>
      </c>
      <c r="AD25" s="137" t="s">
        <v>53</v>
      </c>
      <c r="AE25" s="137" t="s">
        <v>40</v>
      </c>
    </row>
    <row r="26" spans="1:32" s="114" customFormat="1" ht="18" customHeight="1" x14ac:dyDescent="0.25">
      <c r="A26" s="89" t="s">
        <v>135</v>
      </c>
      <c r="B26" s="89" t="s">
        <v>140</v>
      </c>
      <c r="C26" s="116">
        <v>0</v>
      </c>
      <c r="D26" s="116">
        <v>0</v>
      </c>
      <c r="E26" s="116">
        <v>0</v>
      </c>
      <c r="F26" s="116">
        <v>1</v>
      </c>
      <c r="G26" s="116">
        <v>0</v>
      </c>
      <c r="H26" s="116">
        <v>0</v>
      </c>
      <c r="I26" s="116">
        <v>0</v>
      </c>
      <c r="J26" s="116">
        <v>0</v>
      </c>
      <c r="K26" s="116" t="s">
        <v>137</v>
      </c>
      <c r="L26" s="89" t="s">
        <v>138</v>
      </c>
      <c r="M26" s="94" t="s">
        <v>141</v>
      </c>
      <c r="N26" s="117">
        <v>1</v>
      </c>
      <c r="O26" s="118">
        <v>1</v>
      </c>
      <c r="P26" s="119">
        <v>0</v>
      </c>
      <c r="Q26" s="120">
        <v>0</v>
      </c>
      <c r="R26" s="120">
        <v>0</v>
      </c>
      <c r="S26" s="120">
        <v>0</v>
      </c>
      <c r="T26" s="120">
        <v>0</v>
      </c>
      <c r="U26" s="120">
        <v>0</v>
      </c>
      <c r="V26" s="120">
        <v>0</v>
      </c>
      <c r="W26" s="120">
        <v>0</v>
      </c>
      <c r="X26" s="119">
        <v>0</v>
      </c>
      <c r="Y26" s="121">
        <v>0</v>
      </c>
      <c r="Z26" s="122">
        <v>0</v>
      </c>
      <c r="AA26" s="119">
        <v>0</v>
      </c>
      <c r="AB26" s="134" t="s">
        <v>102</v>
      </c>
      <c r="AC26" s="134" t="s">
        <v>102</v>
      </c>
      <c r="AD26" s="137" t="s">
        <v>39</v>
      </c>
      <c r="AE26" s="137" t="s">
        <v>40</v>
      </c>
    </row>
    <row r="27" spans="1:32" s="114" customFormat="1" ht="18" customHeight="1" x14ac:dyDescent="0.25">
      <c r="A27" s="89" t="s">
        <v>135</v>
      </c>
      <c r="B27" s="89" t="s">
        <v>142</v>
      </c>
      <c r="C27" s="116">
        <v>1</v>
      </c>
      <c r="D27" s="116">
        <v>0</v>
      </c>
      <c r="E27" s="116">
        <v>1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 t="s">
        <v>143</v>
      </c>
      <c r="L27" s="89" t="s">
        <v>144</v>
      </c>
      <c r="M27" s="107" t="s">
        <v>145</v>
      </c>
      <c r="N27" s="117">
        <v>1</v>
      </c>
      <c r="O27" s="118">
        <v>0</v>
      </c>
      <c r="P27" s="119">
        <v>1</v>
      </c>
      <c r="Q27" s="120">
        <v>1</v>
      </c>
      <c r="R27" s="120">
        <v>0</v>
      </c>
      <c r="S27" s="120">
        <v>0</v>
      </c>
      <c r="T27" s="120">
        <v>0</v>
      </c>
      <c r="U27" s="120">
        <v>0</v>
      </c>
      <c r="V27" s="120">
        <v>0</v>
      </c>
      <c r="W27" s="120">
        <v>0</v>
      </c>
      <c r="X27" s="119">
        <v>0</v>
      </c>
      <c r="Y27" s="121">
        <v>1</v>
      </c>
      <c r="Z27" s="122">
        <v>0</v>
      </c>
      <c r="AA27" s="119">
        <v>0</v>
      </c>
      <c r="AB27" s="134" t="s">
        <v>135</v>
      </c>
      <c r="AC27" s="134" t="s">
        <v>135</v>
      </c>
      <c r="AD27" s="137" t="s">
        <v>146</v>
      </c>
      <c r="AE27" s="137" t="s">
        <v>40</v>
      </c>
      <c r="AF27" s="114" t="s">
        <v>147</v>
      </c>
    </row>
    <row r="28" spans="1:32" s="114" customFormat="1" ht="18" customHeight="1" x14ac:dyDescent="0.25">
      <c r="A28" s="89" t="s">
        <v>148</v>
      </c>
      <c r="B28" s="89" t="s">
        <v>149</v>
      </c>
      <c r="C28" s="116">
        <v>0</v>
      </c>
      <c r="D28" s="116">
        <v>0</v>
      </c>
      <c r="E28" s="116">
        <v>0</v>
      </c>
      <c r="F28" s="116">
        <v>3</v>
      </c>
      <c r="G28" s="116">
        <v>0</v>
      </c>
      <c r="H28" s="116">
        <v>0</v>
      </c>
      <c r="I28" s="116">
        <v>0</v>
      </c>
      <c r="J28" s="116">
        <v>0</v>
      </c>
      <c r="K28" s="116" t="s">
        <v>150</v>
      </c>
      <c r="L28" s="89" t="s">
        <v>151</v>
      </c>
      <c r="M28" s="94" t="s">
        <v>152</v>
      </c>
      <c r="N28" s="117">
        <v>3</v>
      </c>
      <c r="O28" s="118">
        <v>3</v>
      </c>
      <c r="P28" s="119">
        <v>0</v>
      </c>
      <c r="Q28" s="120">
        <v>0</v>
      </c>
      <c r="R28" s="120">
        <v>0</v>
      </c>
      <c r="S28" s="120">
        <v>0</v>
      </c>
      <c r="T28" s="120">
        <v>0</v>
      </c>
      <c r="U28" s="120">
        <v>0</v>
      </c>
      <c r="V28" s="120">
        <v>0</v>
      </c>
      <c r="W28" s="120">
        <v>0</v>
      </c>
      <c r="X28" s="119">
        <v>0</v>
      </c>
      <c r="Y28" s="121">
        <v>0</v>
      </c>
      <c r="Z28" s="122">
        <v>0</v>
      </c>
      <c r="AA28" s="119">
        <v>0</v>
      </c>
      <c r="AB28" s="134" t="s">
        <v>148</v>
      </c>
      <c r="AC28" s="134" t="s">
        <v>148</v>
      </c>
      <c r="AD28" s="137" t="s">
        <v>72</v>
      </c>
      <c r="AE28" s="137" t="s">
        <v>40</v>
      </c>
    </row>
    <row r="29" spans="1:32" s="114" customFormat="1" ht="18" customHeight="1" x14ac:dyDescent="0.25">
      <c r="A29" s="89" t="s">
        <v>148</v>
      </c>
      <c r="B29" s="89" t="s">
        <v>153</v>
      </c>
      <c r="C29" s="116">
        <v>0</v>
      </c>
      <c r="D29" s="116">
        <v>0</v>
      </c>
      <c r="E29" s="116">
        <v>0</v>
      </c>
      <c r="F29" s="116">
        <v>6</v>
      </c>
      <c r="G29" s="116">
        <v>0</v>
      </c>
      <c r="H29" s="116">
        <v>0</v>
      </c>
      <c r="I29" s="116">
        <v>0</v>
      </c>
      <c r="J29" s="116">
        <v>0</v>
      </c>
      <c r="K29" s="116" t="s">
        <v>150</v>
      </c>
      <c r="L29" s="89" t="s">
        <v>151</v>
      </c>
      <c r="M29" s="94" t="s">
        <v>154</v>
      </c>
      <c r="N29" s="117">
        <v>6</v>
      </c>
      <c r="O29" s="118">
        <v>6</v>
      </c>
      <c r="P29" s="119">
        <v>0</v>
      </c>
      <c r="Q29" s="120">
        <v>0</v>
      </c>
      <c r="R29" s="120">
        <v>0</v>
      </c>
      <c r="S29" s="120">
        <v>0</v>
      </c>
      <c r="T29" s="120">
        <v>0</v>
      </c>
      <c r="U29" s="120">
        <v>0</v>
      </c>
      <c r="V29" s="120">
        <v>0</v>
      </c>
      <c r="W29" s="120">
        <v>0</v>
      </c>
      <c r="X29" s="119">
        <v>0</v>
      </c>
      <c r="Y29" s="121">
        <v>0</v>
      </c>
      <c r="Z29" s="122">
        <v>0</v>
      </c>
      <c r="AA29" s="119">
        <v>0</v>
      </c>
      <c r="AB29" s="134" t="s">
        <v>148</v>
      </c>
      <c r="AC29" s="134" t="s">
        <v>148</v>
      </c>
      <c r="AD29" s="137" t="s">
        <v>72</v>
      </c>
      <c r="AE29" s="137" t="s">
        <v>40</v>
      </c>
      <c r="AF29" s="114" t="s">
        <v>155</v>
      </c>
    </row>
    <row r="30" spans="1:32" s="114" customFormat="1" ht="18" customHeight="1" x14ac:dyDescent="0.25">
      <c r="A30" s="89" t="s">
        <v>148</v>
      </c>
      <c r="B30" s="89" t="s">
        <v>156</v>
      </c>
      <c r="C30" s="116">
        <v>1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 t="s">
        <v>157</v>
      </c>
      <c r="L30" s="89" t="s">
        <v>158</v>
      </c>
      <c r="M30" s="94" t="s">
        <v>159</v>
      </c>
      <c r="N30" s="117">
        <v>1</v>
      </c>
      <c r="O30" s="118">
        <v>0</v>
      </c>
      <c r="P30" s="119">
        <v>1</v>
      </c>
      <c r="Q30" s="120">
        <v>1</v>
      </c>
      <c r="R30" s="120">
        <v>0</v>
      </c>
      <c r="S30" s="120">
        <v>0</v>
      </c>
      <c r="T30" s="120">
        <v>0</v>
      </c>
      <c r="U30" s="120">
        <v>0</v>
      </c>
      <c r="V30" s="120">
        <v>0</v>
      </c>
      <c r="W30" s="120">
        <v>0</v>
      </c>
      <c r="X30" s="119">
        <v>0</v>
      </c>
      <c r="Y30" s="121">
        <v>1</v>
      </c>
      <c r="Z30" s="122">
        <v>0</v>
      </c>
      <c r="AA30" s="119">
        <v>0</v>
      </c>
      <c r="AB30" s="134" t="s">
        <v>148</v>
      </c>
      <c r="AC30" s="134" t="s">
        <v>148</v>
      </c>
      <c r="AD30" s="137" t="s">
        <v>72</v>
      </c>
      <c r="AE30" s="137" t="s">
        <v>40</v>
      </c>
      <c r="AF30" s="114" t="s">
        <v>160</v>
      </c>
    </row>
    <row r="31" spans="1:32" s="114" customFormat="1" ht="18" customHeight="1" x14ac:dyDescent="0.25">
      <c r="A31" s="89" t="s">
        <v>148</v>
      </c>
      <c r="B31" s="89" t="s">
        <v>161</v>
      </c>
      <c r="C31" s="116">
        <v>0</v>
      </c>
      <c r="D31" s="116">
        <v>0</v>
      </c>
      <c r="E31" s="116">
        <v>0</v>
      </c>
      <c r="F31" s="116">
        <v>2</v>
      </c>
      <c r="G31" s="116">
        <v>0</v>
      </c>
      <c r="H31" s="116">
        <v>0</v>
      </c>
      <c r="I31" s="116">
        <v>0</v>
      </c>
      <c r="J31" s="116">
        <v>0</v>
      </c>
      <c r="K31" s="116" t="s">
        <v>162</v>
      </c>
      <c r="L31" s="89" t="s">
        <v>163</v>
      </c>
      <c r="M31" s="94" t="s">
        <v>164</v>
      </c>
      <c r="N31" s="117">
        <v>2</v>
      </c>
      <c r="O31" s="118">
        <v>2</v>
      </c>
      <c r="P31" s="119">
        <v>0</v>
      </c>
      <c r="Q31" s="120">
        <v>0</v>
      </c>
      <c r="R31" s="120">
        <v>0</v>
      </c>
      <c r="S31" s="120">
        <v>0</v>
      </c>
      <c r="T31" s="120">
        <v>0</v>
      </c>
      <c r="U31" s="120">
        <v>0</v>
      </c>
      <c r="V31" s="120">
        <v>0</v>
      </c>
      <c r="W31" s="120">
        <v>0</v>
      </c>
      <c r="X31" s="119">
        <v>0</v>
      </c>
      <c r="Y31" s="121">
        <v>0</v>
      </c>
      <c r="Z31" s="122">
        <v>0</v>
      </c>
      <c r="AA31" s="119">
        <v>0</v>
      </c>
      <c r="AB31" s="134" t="s">
        <v>148</v>
      </c>
      <c r="AC31" s="134" t="s">
        <v>148</v>
      </c>
      <c r="AD31" s="137" t="s">
        <v>72</v>
      </c>
      <c r="AE31" s="137" t="s">
        <v>40</v>
      </c>
    </row>
    <row r="32" spans="1:32" s="114" customFormat="1" ht="18" customHeight="1" x14ac:dyDescent="0.25">
      <c r="A32" s="89" t="s">
        <v>148</v>
      </c>
      <c r="B32" s="89" t="s">
        <v>165</v>
      </c>
      <c r="C32" s="116">
        <v>0</v>
      </c>
      <c r="D32" s="116">
        <v>0</v>
      </c>
      <c r="E32" s="116">
        <v>0</v>
      </c>
      <c r="F32" s="116">
        <v>1</v>
      </c>
      <c r="G32" s="116">
        <v>0</v>
      </c>
      <c r="H32" s="116">
        <v>1</v>
      </c>
      <c r="I32" s="116">
        <v>0</v>
      </c>
      <c r="J32" s="116">
        <v>0</v>
      </c>
      <c r="K32" s="116" t="s">
        <v>36</v>
      </c>
      <c r="L32" s="89" t="s">
        <v>166</v>
      </c>
      <c r="M32" s="94" t="s">
        <v>167</v>
      </c>
      <c r="N32" s="117">
        <v>1</v>
      </c>
      <c r="O32" s="118">
        <v>1</v>
      </c>
      <c r="P32" s="119">
        <v>0</v>
      </c>
      <c r="Q32" s="120">
        <v>0</v>
      </c>
      <c r="R32" s="120">
        <v>0</v>
      </c>
      <c r="S32" s="120">
        <v>0</v>
      </c>
      <c r="T32" s="120">
        <v>0</v>
      </c>
      <c r="U32" s="120">
        <v>0</v>
      </c>
      <c r="V32" s="120">
        <v>0</v>
      </c>
      <c r="W32" s="120">
        <v>0</v>
      </c>
      <c r="X32" s="119">
        <v>0</v>
      </c>
      <c r="Y32" s="121">
        <v>0</v>
      </c>
      <c r="Z32" s="122">
        <v>0</v>
      </c>
      <c r="AA32" s="119">
        <v>0</v>
      </c>
      <c r="AB32" s="134" t="s">
        <v>148</v>
      </c>
      <c r="AC32" s="134" t="s">
        <v>148</v>
      </c>
      <c r="AD32" s="137" t="s">
        <v>40</v>
      </c>
      <c r="AE32" s="137" t="s">
        <v>40</v>
      </c>
    </row>
    <row r="33" spans="1:33" s="114" customFormat="1" ht="18" customHeight="1" x14ac:dyDescent="0.25">
      <c r="A33" s="89" t="s">
        <v>148</v>
      </c>
      <c r="B33" s="89" t="s">
        <v>168</v>
      </c>
      <c r="C33" s="116">
        <v>1</v>
      </c>
      <c r="D33" s="116">
        <v>0</v>
      </c>
      <c r="E33" s="116">
        <v>1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 t="s">
        <v>169</v>
      </c>
      <c r="L33" s="89" t="s">
        <v>170</v>
      </c>
      <c r="M33" s="94" t="s">
        <v>171</v>
      </c>
      <c r="N33" s="117">
        <v>1</v>
      </c>
      <c r="O33" s="118">
        <v>1</v>
      </c>
      <c r="P33" s="119">
        <v>0</v>
      </c>
      <c r="Q33" s="120">
        <v>0</v>
      </c>
      <c r="R33" s="120">
        <v>0</v>
      </c>
      <c r="S33" s="120">
        <v>0</v>
      </c>
      <c r="T33" s="120">
        <v>0</v>
      </c>
      <c r="U33" s="120">
        <v>0</v>
      </c>
      <c r="V33" s="120">
        <v>0</v>
      </c>
      <c r="W33" s="120">
        <v>0</v>
      </c>
      <c r="X33" s="119">
        <v>0</v>
      </c>
      <c r="Y33" s="121">
        <v>0</v>
      </c>
      <c r="Z33" s="122">
        <v>0</v>
      </c>
      <c r="AA33" s="119">
        <v>0</v>
      </c>
      <c r="AB33" s="134" t="s">
        <v>148</v>
      </c>
      <c r="AC33" s="134" t="s">
        <v>148</v>
      </c>
      <c r="AD33" s="137" t="s">
        <v>146</v>
      </c>
      <c r="AE33" s="137" t="s">
        <v>40</v>
      </c>
      <c r="AF33" s="114" t="s">
        <v>172</v>
      </c>
    </row>
    <row r="34" spans="1:33" s="114" customFormat="1" ht="18" customHeight="1" x14ac:dyDescent="0.25">
      <c r="A34" s="134" t="s">
        <v>148</v>
      </c>
      <c r="B34" s="173" t="s">
        <v>173</v>
      </c>
      <c r="C34" s="174">
        <v>0</v>
      </c>
      <c r="D34" s="174">
        <v>0</v>
      </c>
      <c r="E34" s="174">
        <v>0</v>
      </c>
      <c r="F34" s="174">
        <v>0</v>
      </c>
      <c r="G34" s="174">
        <v>0</v>
      </c>
      <c r="H34" s="174">
        <v>0</v>
      </c>
      <c r="I34" s="174">
        <v>2</v>
      </c>
      <c r="J34" s="174">
        <v>0</v>
      </c>
      <c r="K34" s="174" t="s">
        <v>174</v>
      </c>
      <c r="L34" s="173" t="s">
        <v>175</v>
      </c>
      <c r="M34" s="173" t="s">
        <v>176</v>
      </c>
      <c r="N34" s="117">
        <v>2</v>
      </c>
      <c r="O34" s="117">
        <v>2</v>
      </c>
      <c r="P34" s="117">
        <v>0</v>
      </c>
      <c r="Q34" s="117">
        <v>0</v>
      </c>
      <c r="R34" s="117">
        <v>0</v>
      </c>
      <c r="S34" s="117">
        <v>0</v>
      </c>
      <c r="T34" s="117">
        <v>0</v>
      </c>
      <c r="U34" s="117">
        <v>0</v>
      </c>
      <c r="V34" s="117">
        <v>0</v>
      </c>
      <c r="W34" s="117">
        <v>0</v>
      </c>
      <c r="X34" s="117">
        <v>0</v>
      </c>
      <c r="Y34" s="117">
        <v>0</v>
      </c>
      <c r="Z34" s="117">
        <v>0</v>
      </c>
      <c r="AA34" s="117">
        <v>0</v>
      </c>
      <c r="AB34" s="134" t="s">
        <v>148</v>
      </c>
      <c r="AC34" s="134" t="s">
        <v>148</v>
      </c>
      <c r="AD34" s="137" t="s">
        <v>53</v>
      </c>
      <c r="AE34" s="137" t="s">
        <v>40</v>
      </c>
    </row>
    <row r="35" spans="1:33" s="114" customFormat="1" ht="18" customHeight="1" x14ac:dyDescent="0.25">
      <c r="A35" s="89" t="s">
        <v>148</v>
      </c>
      <c r="B35" s="89" t="s">
        <v>177</v>
      </c>
      <c r="C35" s="116">
        <v>0</v>
      </c>
      <c r="D35" s="116">
        <v>0</v>
      </c>
      <c r="E35" s="116">
        <v>0</v>
      </c>
      <c r="F35" s="116">
        <v>0</v>
      </c>
      <c r="G35" s="116">
        <v>0</v>
      </c>
      <c r="H35" s="116">
        <v>0</v>
      </c>
      <c r="I35" s="116">
        <v>2</v>
      </c>
      <c r="J35" s="116">
        <v>0</v>
      </c>
      <c r="K35" s="116" t="s">
        <v>75</v>
      </c>
      <c r="L35" s="89" t="s">
        <v>178</v>
      </c>
      <c r="M35" s="94" t="s">
        <v>179</v>
      </c>
      <c r="N35" s="117">
        <v>2</v>
      </c>
      <c r="O35" s="118">
        <v>2</v>
      </c>
      <c r="P35" s="119">
        <v>0</v>
      </c>
      <c r="Q35" s="120">
        <v>0</v>
      </c>
      <c r="R35" s="120">
        <v>0</v>
      </c>
      <c r="S35" s="120">
        <v>0</v>
      </c>
      <c r="T35" s="120">
        <v>0</v>
      </c>
      <c r="U35" s="120">
        <v>0</v>
      </c>
      <c r="V35" s="120">
        <v>0</v>
      </c>
      <c r="W35" s="120">
        <v>0</v>
      </c>
      <c r="X35" s="119">
        <v>0</v>
      </c>
      <c r="Y35" s="121">
        <v>0</v>
      </c>
      <c r="Z35" s="122">
        <v>0</v>
      </c>
      <c r="AA35" s="119">
        <v>0</v>
      </c>
      <c r="AB35" s="134" t="s">
        <v>148</v>
      </c>
      <c r="AC35" s="134" t="s">
        <v>148</v>
      </c>
      <c r="AD35" s="137" t="s">
        <v>72</v>
      </c>
      <c r="AE35" s="137" t="s">
        <v>40</v>
      </c>
      <c r="AF35" s="114" t="s">
        <v>180</v>
      </c>
    </row>
    <row r="36" spans="1:33" s="114" customFormat="1" ht="18" customHeight="1" x14ac:dyDescent="0.25">
      <c r="A36" s="89" t="s">
        <v>148</v>
      </c>
      <c r="B36" s="89" t="s">
        <v>181</v>
      </c>
      <c r="C36" s="116">
        <v>0</v>
      </c>
      <c r="D36" s="116">
        <v>0</v>
      </c>
      <c r="E36" s="116">
        <v>0</v>
      </c>
      <c r="F36" s="116">
        <v>0</v>
      </c>
      <c r="G36" s="116">
        <v>0</v>
      </c>
      <c r="H36" s="116">
        <v>0</v>
      </c>
      <c r="I36" s="116">
        <v>2</v>
      </c>
      <c r="J36" s="116">
        <v>0</v>
      </c>
      <c r="K36" s="116" t="s">
        <v>75</v>
      </c>
      <c r="L36" s="89" t="s">
        <v>182</v>
      </c>
      <c r="M36" s="94" t="s">
        <v>183</v>
      </c>
      <c r="N36" s="117">
        <v>2</v>
      </c>
      <c r="O36" s="118">
        <v>2</v>
      </c>
      <c r="P36" s="119">
        <v>0</v>
      </c>
      <c r="Q36" s="120">
        <v>0</v>
      </c>
      <c r="R36" s="120">
        <v>0</v>
      </c>
      <c r="S36" s="120">
        <v>0</v>
      </c>
      <c r="T36" s="120">
        <v>0</v>
      </c>
      <c r="U36" s="120">
        <v>0</v>
      </c>
      <c r="V36" s="120">
        <v>0</v>
      </c>
      <c r="W36" s="120">
        <v>0</v>
      </c>
      <c r="X36" s="119">
        <v>0</v>
      </c>
      <c r="Y36" s="121">
        <v>0</v>
      </c>
      <c r="Z36" s="122">
        <v>0</v>
      </c>
      <c r="AA36" s="119">
        <v>0</v>
      </c>
      <c r="AB36" s="134" t="s">
        <v>148</v>
      </c>
      <c r="AC36" s="134" t="s">
        <v>148</v>
      </c>
      <c r="AD36" s="137" t="s">
        <v>72</v>
      </c>
      <c r="AE36" s="137" t="s">
        <v>40</v>
      </c>
      <c r="AF36" s="114" t="s">
        <v>180</v>
      </c>
    </row>
    <row r="37" spans="1:33" s="114" customFormat="1" ht="18" customHeight="1" x14ac:dyDescent="0.25">
      <c r="A37" s="89" t="s">
        <v>148</v>
      </c>
      <c r="B37" s="89" t="s">
        <v>184</v>
      </c>
      <c r="C37" s="116">
        <v>0</v>
      </c>
      <c r="D37" s="116">
        <v>0</v>
      </c>
      <c r="E37" s="116">
        <v>0</v>
      </c>
      <c r="F37" s="116">
        <v>0</v>
      </c>
      <c r="G37" s="116">
        <v>0</v>
      </c>
      <c r="H37" s="116">
        <v>0</v>
      </c>
      <c r="I37" s="116">
        <v>2</v>
      </c>
      <c r="J37" s="116">
        <v>0</v>
      </c>
      <c r="K37" s="116" t="s">
        <v>75</v>
      </c>
      <c r="L37" s="89" t="s">
        <v>178</v>
      </c>
      <c r="M37" s="94" t="s">
        <v>185</v>
      </c>
      <c r="N37" s="117">
        <v>2</v>
      </c>
      <c r="O37" s="118">
        <v>2</v>
      </c>
      <c r="P37" s="119">
        <v>0</v>
      </c>
      <c r="Q37" s="120">
        <v>0</v>
      </c>
      <c r="R37" s="120">
        <v>0</v>
      </c>
      <c r="S37" s="120">
        <v>0</v>
      </c>
      <c r="T37" s="120">
        <v>0</v>
      </c>
      <c r="U37" s="120">
        <v>0</v>
      </c>
      <c r="V37" s="120">
        <v>0</v>
      </c>
      <c r="W37" s="120">
        <v>0</v>
      </c>
      <c r="X37" s="119">
        <v>0</v>
      </c>
      <c r="Y37" s="121">
        <v>0</v>
      </c>
      <c r="Z37" s="122">
        <v>0</v>
      </c>
      <c r="AA37" s="119">
        <v>0</v>
      </c>
      <c r="AB37" s="134" t="s">
        <v>148</v>
      </c>
      <c r="AC37" s="134" t="s">
        <v>148</v>
      </c>
      <c r="AD37" s="137" t="s">
        <v>72</v>
      </c>
      <c r="AE37" s="137" t="s">
        <v>40</v>
      </c>
      <c r="AF37" s="114" t="s">
        <v>180</v>
      </c>
    </row>
    <row r="38" spans="1:33" s="114" customFormat="1" ht="18" customHeight="1" x14ac:dyDescent="0.25">
      <c r="A38" s="134" t="s">
        <v>148</v>
      </c>
      <c r="B38" s="173">
        <v>52215</v>
      </c>
      <c r="C38" s="174">
        <v>0</v>
      </c>
      <c r="D38" s="174">
        <v>0</v>
      </c>
      <c r="E38" s="174">
        <v>0</v>
      </c>
      <c r="F38" s="174">
        <v>2</v>
      </c>
      <c r="G38" s="174">
        <v>0</v>
      </c>
      <c r="H38" s="174">
        <v>0</v>
      </c>
      <c r="I38" s="174">
        <v>0</v>
      </c>
      <c r="J38" s="174">
        <v>0</v>
      </c>
      <c r="K38" s="174" t="s">
        <v>186</v>
      </c>
      <c r="L38" s="173">
        <v>84767</v>
      </c>
      <c r="M38" s="173" t="s">
        <v>187</v>
      </c>
      <c r="N38" s="117">
        <v>2</v>
      </c>
      <c r="O38" s="117">
        <v>2</v>
      </c>
      <c r="P38" s="117">
        <v>0</v>
      </c>
      <c r="Q38" s="117">
        <v>0</v>
      </c>
      <c r="R38" s="117">
        <v>0</v>
      </c>
      <c r="S38" s="117">
        <v>0</v>
      </c>
      <c r="T38" s="117">
        <v>0</v>
      </c>
      <c r="U38" s="117">
        <v>0</v>
      </c>
      <c r="V38" s="117">
        <v>0</v>
      </c>
      <c r="W38" s="117">
        <v>0</v>
      </c>
      <c r="X38" s="117">
        <v>0</v>
      </c>
      <c r="Y38" s="117">
        <v>0</v>
      </c>
      <c r="Z38" s="117">
        <v>0</v>
      </c>
      <c r="AA38" s="117">
        <v>0</v>
      </c>
      <c r="AB38" s="134" t="s">
        <v>148</v>
      </c>
      <c r="AC38" s="134" t="s">
        <v>148</v>
      </c>
      <c r="AD38" s="137" t="s">
        <v>40</v>
      </c>
      <c r="AE38" s="137" t="s">
        <v>40</v>
      </c>
      <c r="AF38" s="114" t="s">
        <v>188</v>
      </c>
    </row>
    <row r="39" spans="1:33" s="114" customFormat="1" ht="18" customHeight="1" x14ac:dyDescent="0.25">
      <c r="A39" s="134" t="s">
        <v>148</v>
      </c>
      <c r="B39" s="173">
        <v>52131</v>
      </c>
      <c r="C39" s="175">
        <v>0</v>
      </c>
      <c r="D39" s="175">
        <v>0</v>
      </c>
      <c r="E39" s="175">
        <v>0</v>
      </c>
      <c r="F39" s="175">
        <v>1</v>
      </c>
      <c r="G39" s="175">
        <v>0</v>
      </c>
      <c r="H39" s="175">
        <v>0</v>
      </c>
      <c r="I39" s="175">
        <v>0</v>
      </c>
      <c r="J39" s="175">
        <v>0</v>
      </c>
      <c r="K39" s="174" t="s">
        <v>189</v>
      </c>
      <c r="L39" s="173">
        <v>84604</v>
      </c>
      <c r="M39" s="173" t="s">
        <v>190</v>
      </c>
      <c r="N39" s="117">
        <v>1</v>
      </c>
      <c r="O39" s="117">
        <v>1</v>
      </c>
      <c r="P39" s="117">
        <v>0</v>
      </c>
      <c r="Q39" s="117">
        <v>0</v>
      </c>
      <c r="R39" s="117">
        <v>0</v>
      </c>
      <c r="S39" s="117">
        <v>0</v>
      </c>
      <c r="T39" s="117">
        <v>0</v>
      </c>
      <c r="U39" s="117">
        <v>0</v>
      </c>
      <c r="V39" s="117">
        <v>0</v>
      </c>
      <c r="W39" s="117">
        <v>0</v>
      </c>
      <c r="X39" s="117">
        <v>0</v>
      </c>
      <c r="Y39" s="117">
        <v>0</v>
      </c>
      <c r="Z39" s="117">
        <v>0</v>
      </c>
      <c r="AA39" s="117">
        <v>0</v>
      </c>
      <c r="AB39" s="134" t="s">
        <v>148</v>
      </c>
      <c r="AC39" s="134" t="s">
        <v>148</v>
      </c>
      <c r="AD39" s="137" t="s">
        <v>40</v>
      </c>
      <c r="AE39" s="137" t="s">
        <v>40</v>
      </c>
      <c r="AF39" s="114" t="s">
        <v>188</v>
      </c>
    </row>
    <row r="40" spans="1:33" s="114" customFormat="1" ht="18" customHeight="1" x14ac:dyDescent="0.25">
      <c r="A40" s="134" t="s">
        <v>148</v>
      </c>
      <c r="B40" s="173" t="s">
        <v>191</v>
      </c>
      <c r="C40" s="174">
        <v>0</v>
      </c>
      <c r="D40" s="174">
        <v>0</v>
      </c>
      <c r="E40" s="174">
        <v>0</v>
      </c>
      <c r="F40" s="174">
        <v>1</v>
      </c>
      <c r="G40" s="174">
        <v>0</v>
      </c>
      <c r="H40" s="174">
        <v>0</v>
      </c>
      <c r="I40" s="174">
        <v>0</v>
      </c>
      <c r="J40" s="174">
        <v>0</v>
      </c>
      <c r="K40" s="174" t="s">
        <v>192</v>
      </c>
      <c r="L40" s="173" t="s">
        <v>193</v>
      </c>
      <c r="M40" s="173" t="s">
        <v>194</v>
      </c>
      <c r="N40" s="117">
        <v>1</v>
      </c>
      <c r="O40" s="117">
        <v>1</v>
      </c>
      <c r="P40" s="117">
        <v>0</v>
      </c>
      <c r="Q40" s="117">
        <v>0</v>
      </c>
      <c r="R40" s="117">
        <v>0</v>
      </c>
      <c r="S40" s="117">
        <v>0</v>
      </c>
      <c r="T40" s="117">
        <v>0</v>
      </c>
      <c r="U40" s="117">
        <v>0</v>
      </c>
      <c r="V40" s="117">
        <v>0</v>
      </c>
      <c r="W40" s="117">
        <v>0</v>
      </c>
      <c r="X40" s="117">
        <v>0</v>
      </c>
      <c r="Y40" s="117">
        <v>0</v>
      </c>
      <c r="Z40" s="117">
        <v>0</v>
      </c>
      <c r="AA40" s="117">
        <v>0</v>
      </c>
      <c r="AB40" s="134" t="s">
        <v>148</v>
      </c>
      <c r="AC40" s="134" t="s">
        <v>148</v>
      </c>
      <c r="AD40" s="137" t="s">
        <v>40</v>
      </c>
      <c r="AE40" s="137" t="s">
        <v>40</v>
      </c>
      <c r="AF40" s="114" t="s">
        <v>195</v>
      </c>
    </row>
    <row r="41" spans="1:33" s="114" customFormat="1" ht="18" customHeight="1" x14ac:dyDescent="0.25">
      <c r="A41" s="89" t="s">
        <v>196</v>
      </c>
      <c r="B41" s="91" t="s">
        <v>197</v>
      </c>
      <c r="C41" s="116">
        <v>0</v>
      </c>
      <c r="D41" s="116">
        <v>0</v>
      </c>
      <c r="E41" s="116">
        <v>0</v>
      </c>
      <c r="F41" s="116">
        <v>1</v>
      </c>
      <c r="G41" s="116">
        <v>0</v>
      </c>
      <c r="H41" s="116">
        <v>0</v>
      </c>
      <c r="I41" s="116">
        <v>0</v>
      </c>
      <c r="J41" s="116">
        <v>0</v>
      </c>
      <c r="K41" s="116" t="s">
        <v>198</v>
      </c>
      <c r="L41" s="89" t="s">
        <v>199</v>
      </c>
      <c r="M41" s="94" t="s">
        <v>200</v>
      </c>
      <c r="N41" s="117">
        <v>1</v>
      </c>
      <c r="O41" s="118">
        <v>1</v>
      </c>
      <c r="P41" s="119">
        <v>0</v>
      </c>
      <c r="Q41" s="120">
        <v>0</v>
      </c>
      <c r="R41" s="120">
        <v>0</v>
      </c>
      <c r="S41" s="120">
        <v>0</v>
      </c>
      <c r="T41" s="120">
        <v>0</v>
      </c>
      <c r="U41" s="120">
        <v>0</v>
      </c>
      <c r="V41" s="120">
        <v>0</v>
      </c>
      <c r="W41" s="120">
        <v>0</v>
      </c>
      <c r="X41" s="119">
        <v>0</v>
      </c>
      <c r="Y41" s="121">
        <v>0</v>
      </c>
      <c r="Z41" s="122">
        <v>0</v>
      </c>
      <c r="AA41" s="119">
        <v>0</v>
      </c>
      <c r="AB41" s="134" t="s">
        <v>196</v>
      </c>
      <c r="AC41" s="134" t="s">
        <v>196</v>
      </c>
      <c r="AD41" s="137" t="s">
        <v>72</v>
      </c>
      <c r="AE41" s="137" t="s">
        <v>40</v>
      </c>
    </row>
    <row r="42" spans="1:33" s="114" customFormat="1" ht="18" customHeight="1" x14ac:dyDescent="0.25">
      <c r="A42" s="89" t="s">
        <v>196</v>
      </c>
      <c r="B42" s="91" t="s">
        <v>201</v>
      </c>
      <c r="C42" s="116">
        <v>0</v>
      </c>
      <c r="D42" s="116">
        <v>0</v>
      </c>
      <c r="E42" s="116">
        <v>0</v>
      </c>
      <c r="F42" s="116">
        <v>1</v>
      </c>
      <c r="G42" s="116">
        <v>0</v>
      </c>
      <c r="H42" s="116">
        <v>0</v>
      </c>
      <c r="I42" s="116">
        <v>0</v>
      </c>
      <c r="J42" s="116">
        <v>0</v>
      </c>
      <c r="K42" s="116" t="s">
        <v>202</v>
      </c>
      <c r="L42" s="89" t="s">
        <v>203</v>
      </c>
      <c r="M42" s="94" t="s">
        <v>204</v>
      </c>
      <c r="N42" s="117">
        <v>1</v>
      </c>
      <c r="O42" s="118">
        <v>1</v>
      </c>
      <c r="P42" s="119">
        <v>0</v>
      </c>
      <c r="Q42" s="120">
        <v>0</v>
      </c>
      <c r="R42" s="120">
        <v>0</v>
      </c>
      <c r="S42" s="120">
        <v>0</v>
      </c>
      <c r="T42" s="120">
        <v>0</v>
      </c>
      <c r="U42" s="120">
        <v>0</v>
      </c>
      <c r="V42" s="120">
        <v>0</v>
      </c>
      <c r="W42" s="120">
        <v>0</v>
      </c>
      <c r="X42" s="119">
        <v>0</v>
      </c>
      <c r="Y42" s="121">
        <v>0</v>
      </c>
      <c r="Z42" s="122">
        <v>0</v>
      </c>
      <c r="AA42" s="119">
        <v>0</v>
      </c>
      <c r="AB42" s="134" t="s">
        <v>196</v>
      </c>
      <c r="AC42" s="134" t="s">
        <v>196</v>
      </c>
      <c r="AD42" s="137" t="s">
        <v>72</v>
      </c>
      <c r="AE42" s="137" t="s">
        <v>40</v>
      </c>
      <c r="AF42" s="114" t="s">
        <v>205</v>
      </c>
    </row>
    <row r="43" spans="1:33" s="114" customFormat="1" ht="18" customHeight="1" x14ac:dyDescent="0.25">
      <c r="A43" s="89" t="s">
        <v>196</v>
      </c>
      <c r="B43" s="91" t="s">
        <v>206</v>
      </c>
      <c r="C43" s="116">
        <v>0</v>
      </c>
      <c r="D43" s="116">
        <v>0</v>
      </c>
      <c r="E43" s="116">
        <v>0</v>
      </c>
      <c r="F43" s="116">
        <v>1</v>
      </c>
      <c r="G43" s="116">
        <v>0</v>
      </c>
      <c r="H43" s="116">
        <v>0</v>
      </c>
      <c r="I43" s="116">
        <v>0</v>
      </c>
      <c r="J43" s="116">
        <v>0</v>
      </c>
      <c r="K43" s="116" t="s">
        <v>202</v>
      </c>
      <c r="L43" s="89" t="s">
        <v>203</v>
      </c>
      <c r="M43" s="94" t="s">
        <v>207</v>
      </c>
      <c r="N43" s="117">
        <v>1</v>
      </c>
      <c r="O43" s="118">
        <v>1</v>
      </c>
      <c r="P43" s="119">
        <v>0</v>
      </c>
      <c r="Q43" s="120">
        <v>0</v>
      </c>
      <c r="R43" s="120">
        <v>0</v>
      </c>
      <c r="S43" s="120">
        <v>0</v>
      </c>
      <c r="T43" s="120">
        <v>0</v>
      </c>
      <c r="U43" s="120">
        <v>0</v>
      </c>
      <c r="V43" s="120">
        <v>0</v>
      </c>
      <c r="W43" s="120">
        <v>0</v>
      </c>
      <c r="X43" s="119">
        <v>0</v>
      </c>
      <c r="Y43" s="121">
        <v>0</v>
      </c>
      <c r="Z43" s="122">
        <v>0</v>
      </c>
      <c r="AA43" s="119">
        <v>0</v>
      </c>
      <c r="AB43" s="134" t="s">
        <v>196</v>
      </c>
      <c r="AC43" s="134" t="s">
        <v>196</v>
      </c>
      <c r="AD43" s="137" t="s">
        <v>72</v>
      </c>
      <c r="AE43" s="137" t="s">
        <v>40</v>
      </c>
      <c r="AF43" s="114" t="s">
        <v>205</v>
      </c>
    </row>
    <row r="44" spans="1:33" s="114" customFormat="1" ht="18" customHeight="1" x14ac:dyDescent="0.25">
      <c r="A44" s="89" t="s">
        <v>196</v>
      </c>
      <c r="B44" s="91" t="s">
        <v>208</v>
      </c>
      <c r="C44" s="116">
        <v>0</v>
      </c>
      <c r="D44" s="116">
        <v>0</v>
      </c>
      <c r="E44" s="116">
        <v>0</v>
      </c>
      <c r="F44" s="116">
        <v>1</v>
      </c>
      <c r="G44" s="116">
        <v>0</v>
      </c>
      <c r="H44" s="116">
        <v>0</v>
      </c>
      <c r="I44" s="116">
        <v>0</v>
      </c>
      <c r="J44" s="116">
        <v>0</v>
      </c>
      <c r="K44" s="116" t="s">
        <v>209</v>
      </c>
      <c r="L44" s="89" t="s">
        <v>210</v>
      </c>
      <c r="M44" s="94" t="s">
        <v>211</v>
      </c>
      <c r="N44" s="117">
        <v>1</v>
      </c>
      <c r="O44" s="118">
        <v>1</v>
      </c>
      <c r="P44" s="119">
        <v>0</v>
      </c>
      <c r="Q44" s="120">
        <v>0</v>
      </c>
      <c r="R44" s="120">
        <v>0</v>
      </c>
      <c r="S44" s="120">
        <v>0</v>
      </c>
      <c r="T44" s="120">
        <v>0</v>
      </c>
      <c r="U44" s="120">
        <v>0</v>
      </c>
      <c r="V44" s="120">
        <v>0</v>
      </c>
      <c r="W44" s="120">
        <v>0</v>
      </c>
      <c r="X44" s="119">
        <v>0</v>
      </c>
      <c r="Y44" s="121">
        <v>0</v>
      </c>
      <c r="Z44" s="122">
        <v>0</v>
      </c>
      <c r="AA44" s="119">
        <v>0</v>
      </c>
      <c r="AB44" s="134" t="s">
        <v>196</v>
      </c>
      <c r="AC44" s="134" t="s">
        <v>196</v>
      </c>
      <c r="AD44" s="137" t="s">
        <v>72</v>
      </c>
      <c r="AE44" s="137" t="s">
        <v>40</v>
      </c>
    </row>
    <row r="45" spans="1:33" s="114" customFormat="1" ht="18" customHeight="1" x14ac:dyDescent="0.25">
      <c r="A45" s="89" t="s">
        <v>212</v>
      </c>
      <c r="B45" s="89" t="s">
        <v>213</v>
      </c>
      <c r="C45" s="116">
        <v>0</v>
      </c>
      <c r="D45" s="116">
        <v>0</v>
      </c>
      <c r="E45" s="116">
        <v>0</v>
      </c>
      <c r="F45" s="116">
        <v>1</v>
      </c>
      <c r="G45" s="116">
        <v>1</v>
      </c>
      <c r="H45" s="116">
        <v>0</v>
      </c>
      <c r="I45" s="116">
        <v>0</v>
      </c>
      <c r="J45" s="116">
        <v>0</v>
      </c>
      <c r="K45" s="116" t="s">
        <v>214</v>
      </c>
      <c r="L45" s="89" t="s">
        <v>215</v>
      </c>
      <c r="M45" s="94" t="s">
        <v>216</v>
      </c>
      <c r="N45" s="117">
        <v>1</v>
      </c>
      <c r="O45" s="118">
        <v>1</v>
      </c>
      <c r="P45" s="119">
        <v>0</v>
      </c>
      <c r="Q45" s="120">
        <v>0</v>
      </c>
      <c r="R45" s="120">
        <v>0</v>
      </c>
      <c r="S45" s="120">
        <v>0</v>
      </c>
      <c r="T45" s="120">
        <v>0</v>
      </c>
      <c r="U45" s="120">
        <v>0</v>
      </c>
      <c r="V45" s="120">
        <v>0</v>
      </c>
      <c r="W45" s="120">
        <v>0</v>
      </c>
      <c r="X45" s="119">
        <v>0</v>
      </c>
      <c r="Y45" s="121">
        <v>0</v>
      </c>
      <c r="Z45" s="122">
        <v>0</v>
      </c>
      <c r="AA45" s="119">
        <v>0</v>
      </c>
      <c r="AB45" s="134" t="s">
        <v>212</v>
      </c>
      <c r="AC45" s="134" t="s">
        <v>212</v>
      </c>
      <c r="AD45" s="137" t="s">
        <v>72</v>
      </c>
      <c r="AE45" s="137" t="s">
        <v>40</v>
      </c>
      <c r="AF45" s="114" t="s">
        <v>217</v>
      </c>
    </row>
    <row r="46" spans="1:33" s="114" customFormat="1" ht="18" customHeight="1" x14ac:dyDescent="0.25">
      <c r="A46" s="89" t="s">
        <v>212</v>
      </c>
      <c r="B46" s="89" t="s">
        <v>218</v>
      </c>
      <c r="C46" s="116">
        <v>0</v>
      </c>
      <c r="D46" s="116">
        <v>0</v>
      </c>
      <c r="E46" s="116">
        <v>0</v>
      </c>
      <c r="F46" s="116">
        <v>2</v>
      </c>
      <c r="G46" s="116">
        <v>0</v>
      </c>
      <c r="H46" s="116">
        <v>0</v>
      </c>
      <c r="I46" s="116">
        <v>0</v>
      </c>
      <c r="J46" s="116">
        <v>0</v>
      </c>
      <c r="K46" s="116" t="s">
        <v>219</v>
      </c>
      <c r="L46" s="89" t="s">
        <v>220</v>
      </c>
      <c r="M46" s="94" t="s">
        <v>221</v>
      </c>
      <c r="N46" s="117">
        <v>2</v>
      </c>
      <c r="O46" s="118">
        <v>2</v>
      </c>
      <c r="P46" s="119">
        <v>0</v>
      </c>
      <c r="Q46" s="120">
        <v>0</v>
      </c>
      <c r="R46" s="120">
        <v>0</v>
      </c>
      <c r="S46" s="120">
        <v>0</v>
      </c>
      <c r="T46" s="120">
        <v>0</v>
      </c>
      <c r="U46" s="120">
        <v>0</v>
      </c>
      <c r="V46" s="120">
        <v>0</v>
      </c>
      <c r="W46" s="120">
        <v>0</v>
      </c>
      <c r="X46" s="119">
        <v>0</v>
      </c>
      <c r="Y46" s="121">
        <v>0</v>
      </c>
      <c r="Z46" s="122">
        <v>0</v>
      </c>
      <c r="AA46" s="119">
        <v>0</v>
      </c>
      <c r="AB46" s="134" t="s">
        <v>212</v>
      </c>
      <c r="AC46" s="134" t="s">
        <v>212</v>
      </c>
      <c r="AD46" s="137" t="s">
        <v>72</v>
      </c>
      <c r="AE46" s="137" t="s">
        <v>40</v>
      </c>
      <c r="AF46" s="114" t="s">
        <v>222</v>
      </c>
    </row>
    <row r="47" spans="1:33" s="114" customFormat="1" ht="18" customHeight="1" x14ac:dyDescent="0.25">
      <c r="A47" s="89" t="s">
        <v>212</v>
      </c>
      <c r="B47" s="89" t="s">
        <v>223</v>
      </c>
      <c r="C47" s="116">
        <v>1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 t="s">
        <v>224</v>
      </c>
      <c r="L47" s="89" t="s">
        <v>225</v>
      </c>
      <c r="M47" s="94" t="s">
        <v>226</v>
      </c>
      <c r="N47" s="117">
        <v>1</v>
      </c>
      <c r="O47" s="118">
        <v>1</v>
      </c>
      <c r="P47" s="119">
        <v>0</v>
      </c>
      <c r="Q47" s="120">
        <v>0</v>
      </c>
      <c r="R47" s="120">
        <v>0</v>
      </c>
      <c r="S47" s="120">
        <v>0</v>
      </c>
      <c r="T47" s="120">
        <v>0</v>
      </c>
      <c r="U47" s="120">
        <v>0</v>
      </c>
      <c r="V47" s="120">
        <v>0</v>
      </c>
      <c r="W47" s="120">
        <v>0</v>
      </c>
      <c r="X47" s="119">
        <v>0</v>
      </c>
      <c r="Y47" s="121">
        <v>0</v>
      </c>
      <c r="Z47" s="122">
        <v>0</v>
      </c>
      <c r="AA47" s="119">
        <v>0</v>
      </c>
      <c r="AB47" s="134" t="s">
        <v>212</v>
      </c>
      <c r="AC47" s="134" t="s">
        <v>212</v>
      </c>
      <c r="AD47" s="137" t="s">
        <v>72</v>
      </c>
      <c r="AE47" s="137" t="s">
        <v>40</v>
      </c>
      <c r="AF47" s="114" t="s">
        <v>222</v>
      </c>
    </row>
    <row r="48" spans="1:33" s="115" customFormat="1" ht="18" customHeight="1" x14ac:dyDescent="0.25">
      <c r="A48" s="89" t="s">
        <v>212</v>
      </c>
      <c r="B48" s="89" t="s">
        <v>227</v>
      </c>
      <c r="C48" s="116">
        <v>0</v>
      </c>
      <c r="D48" s="116">
        <v>0</v>
      </c>
      <c r="E48" s="116">
        <v>0</v>
      </c>
      <c r="F48" s="116">
        <v>1</v>
      </c>
      <c r="G48" s="116">
        <v>1</v>
      </c>
      <c r="H48" s="116">
        <v>0</v>
      </c>
      <c r="I48" s="116">
        <v>0</v>
      </c>
      <c r="J48" s="116">
        <v>0</v>
      </c>
      <c r="K48" s="116" t="s">
        <v>228</v>
      </c>
      <c r="L48" s="89" t="s">
        <v>229</v>
      </c>
      <c r="M48" s="94" t="s">
        <v>230</v>
      </c>
      <c r="N48" s="117">
        <v>1</v>
      </c>
      <c r="O48" s="118">
        <v>1</v>
      </c>
      <c r="P48" s="119">
        <v>0</v>
      </c>
      <c r="Q48" s="120">
        <v>0</v>
      </c>
      <c r="R48" s="120">
        <v>0</v>
      </c>
      <c r="S48" s="120">
        <v>0</v>
      </c>
      <c r="T48" s="120">
        <v>0</v>
      </c>
      <c r="U48" s="120">
        <v>0</v>
      </c>
      <c r="V48" s="120">
        <v>0</v>
      </c>
      <c r="W48" s="120">
        <v>0</v>
      </c>
      <c r="X48" s="119">
        <v>0</v>
      </c>
      <c r="Y48" s="121">
        <v>0</v>
      </c>
      <c r="Z48" s="122">
        <v>0</v>
      </c>
      <c r="AA48" s="119">
        <v>0</v>
      </c>
      <c r="AB48" s="134" t="s">
        <v>212</v>
      </c>
      <c r="AC48" s="134" t="s">
        <v>212</v>
      </c>
      <c r="AD48" s="137" t="s">
        <v>58</v>
      </c>
      <c r="AE48" s="137" t="s">
        <v>40</v>
      </c>
      <c r="AF48" s="114" t="s">
        <v>231</v>
      </c>
      <c r="AG48" s="114"/>
    </row>
    <row r="49" spans="1:33" s="114" customFormat="1" ht="18" customHeight="1" x14ac:dyDescent="0.25">
      <c r="A49" s="89" t="s">
        <v>212</v>
      </c>
      <c r="B49" s="89" t="s">
        <v>227</v>
      </c>
      <c r="C49" s="116">
        <v>0</v>
      </c>
      <c r="D49" s="116">
        <v>0</v>
      </c>
      <c r="E49" s="116">
        <v>0</v>
      </c>
      <c r="F49" s="116">
        <v>1</v>
      </c>
      <c r="G49" s="116">
        <v>1</v>
      </c>
      <c r="H49" s="116">
        <v>0</v>
      </c>
      <c r="I49" s="116">
        <v>0</v>
      </c>
      <c r="J49" s="116">
        <v>0</v>
      </c>
      <c r="K49" s="116" t="s">
        <v>228</v>
      </c>
      <c r="L49" s="89" t="s">
        <v>232</v>
      </c>
      <c r="M49" s="94" t="s">
        <v>233</v>
      </c>
      <c r="N49" s="117">
        <v>1</v>
      </c>
      <c r="O49" s="118">
        <v>1</v>
      </c>
      <c r="P49" s="119">
        <v>0</v>
      </c>
      <c r="Q49" s="120">
        <v>0</v>
      </c>
      <c r="R49" s="120">
        <v>0</v>
      </c>
      <c r="S49" s="120">
        <v>0</v>
      </c>
      <c r="T49" s="120">
        <v>0</v>
      </c>
      <c r="U49" s="120">
        <v>0</v>
      </c>
      <c r="V49" s="120">
        <v>0</v>
      </c>
      <c r="W49" s="120">
        <v>0</v>
      </c>
      <c r="X49" s="119">
        <v>0</v>
      </c>
      <c r="Y49" s="121">
        <v>0</v>
      </c>
      <c r="Z49" s="122">
        <v>0</v>
      </c>
      <c r="AA49" s="119">
        <v>0</v>
      </c>
      <c r="AB49" s="134" t="s">
        <v>212</v>
      </c>
      <c r="AC49" s="134" t="s">
        <v>212</v>
      </c>
      <c r="AD49" s="137" t="s">
        <v>58</v>
      </c>
      <c r="AE49" s="137" t="s">
        <v>40</v>
      </c>
      <c r="AF49" s="114" t="s">
        <v>231</v>
      </c>
    </row>
    <row r="50" spans="1:33" s="114" customFormat="1" ht="18" customHeight="1" x14ac:dyDescent="0.25">
      <c r="A50" s="89" t="s">
        <v>212</v>
      </c>
      <c r="B50" s="89" t="s">
        <v>234</v>
      </c>
      <c r="C50" s="116">
        <v>1</v>
      </c>
      <c r="D50" s="116">
        <v>0</v>
      </c>
      <c r="E50" s="116">
        <v>1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 t="s">
        <v>198</v>
      </c>
      <c r="L50" s="89" t="s">
        <v>215</v>
      </c>
      <c r="M50" s="94" t="s">
        <v>216</v>
      </c>
      <c r="N50" s="117">
        <v>1</v>
      </c>
      <c r="O50" s="118">
        <v>0</v>
      </c>
      <c r="P50" s="119">
        <v>1</v>
      </c>
      <c r="Q50" s="120">
        <v>1</v>
      </c>
      <c r="R50" s="120">
        <v>0</v>
      </c>
      <c r="S50" s="120">
        <v>0</v>
      </c>
      <c r="T50" s="120">
        <v>0</v>
      </c>
      <c r="U50" s="120">
        <v>0</v>
      </c>
      <c r="V50" s="120">
        <v>0</v>
      </c>
      <c r="W50" s="120">
        <v>0</v>
      </c>
      <c r="X50" s="119">
        <v>0</v>
      </c>
      <c r="Y50" s="121">
        <v>1</v>
      </c>
      <c r="Z50" s="122">
        <v>0</v>
      </c>
      <c r="AA50" s="119">
        <v>0</v>
      </c>
      <c r="AB50" s="134" t="s">
        <v>212</v>
      </c>
      <c r="AC50" s="134" t="s">
        <v>212</v>
      </c>
      <c r="AD50" s="137" t="s">
        <v>40</v>
      </c>
      <c r="AE50" s="137" t="s">
        <v>40</v>
      </c>
      <c r="AF50" s="114" t="s">
        <v>235</v>
      </c>
    </row>
    <row r="51" spans="1:33" s="114" customFormat="1" ht="18" customHeight="1" x14ac:dyDescent="0.25">
      <c r="A51" s="89" t="s">
        <v>212</v>
      </c>
      <c r="B51" s="89" t="s">
        <v>236</v>
      </c>
      <c r="C51" s="116">
        <v>0</v>
      </c>
      <c r="D51" s="116">
        <v>0</v>
      </c>
      <c r="E51" s="116">
        <v>0</v>
      </c>
      <c r="F51" s="116">
        <v>2</v>
      </c>
      <c r="G51" s="116">
        <v>2</v>
      </c>
      <c r="H51" s="116">
        <v>0</v>
      </c>
      <c r="I51" s="116">
        <v>0</v>
      </c>
      <c r="J51" s="116">
        <v>0</v>
      </c>
      <c r="K51" s="116" t="s">
        <v>228</v>
      </c>
      <c r="L51" s="89" t="s">
        <v>232</v>
      </c>
      <c r="M51" s="94" t="s">
        <v>237</v>
      </c>
      <c r="N51" s="117">
        <v>2</v>
      </c>
      <c r="O51" s="118">
        <v>2</v>
      </c>
      <c r="P51" s="119">
        <v>0</v>
      </c>
      <c r="Q51" s="120">
        <v>0</v>
      </c>
      <c r="R51" s="120">
        <v>0</v>
      </c>
      <c r="S51" s="120">
        <v>0</v>
      </c>
      <c r="T51" s="120">
        <v>0</v>
      </c>
      <c r="U51" s="120">
        <v>0</v>
      </c>
      <c r="V51" s="120">
        <v>0</v>
      </c>
      <c r="W51" s="120">
        <v>0</v>
      </c>
      <c r="X51" s="119">
        <v>0</v>
      </c>
      <c r="Y51" s="121">
        <v>0</v>
      </c>
      <c r="Z51" s="122">
        <v>0</v>
      </c>
      <c r="AA51" s="119">
        <v>0</v>
      </c>
      <c r="AB51" s="134" t="s">
        <v>212</v>
      </c>
      <c r="AC51" s="89" t="s">
        <v>212</v>
      </c>
      <c r="AD51" s="113" t="s">
        <v>39</v>
      </c>
      <c r="AE51" s="137" t="s">
        <v>40</v>
      </c>
      <c r="AF51" s="115"/>
      <c r="AG51" s="115"/>
    </row>
    <row r="52" spans="1:33" s="114" customFormat="1" ht="18" customHeight="1" x14ac:dyDescent="0.25">
      <c r="A52" s="89" t="s">
        <v>212</v>
      </c>
      <c r="B52" s="89" t="s">
        <v>236</v>
      </c>
      <c r="C52" s="116">
        <v>0</v>
      </c>
      <c r="D52" s="116">
        <v>0</v>
      </c>
      <c r="E52" s="116">
        <v>0</v>
      </c>
      <c r="F52" s="116">
        <v>2</v>
      </c>
      <c r="G52" s="116">
        <v>2</v>
      </c>
      <c r="H52" s="116">
        <v>0</v>
      </c>
      <c r="I52" s="116">
        <v>0</v>
      </c>
      <c r="J52" s="116">
        <v>0</v>
      </c>
      <c r="K52" s="116" t="s">
        <v>228</v>
      </c>
      <c r="L52" s="89" t="s">
        <v>229</v>
      </c>
      <c r="M52" s="94" t="s">
        <v>238</v>
      </c>
      <c r="N52" s="117">
        <v>2</v>
      </c>
      <c r="O52" s="118">
        <v>2</v>
      </c>
      <c r="P52" s="119">
        <v>0</v>
      </c>
      <c r="Q52" s="120">
        <v>0</v>
      </c>
      <c r="R52" s="120">
        <v>0</v>
      </c>
      <c r="S52" s="120">
        <v>0</v>
      </c>
      <c r="T52" s="120">
        <v>0</v>
      </c>
      <c r="U52" s="120">
        <v>0</v>
      </c>
      <c r="V52" s="120">
        <v>0</v>
      </c>
      <c r="W52" s="120">
        <v>0</v>
      </c>
      <c r="X52" s="119">
        <v>0</v>
      </c>
      <c r="Y52" s="121">
        <v>0</v>
      </c>
      <c r="Z52" s="122">
        <v>0</v>
      </c>
      <c r="AA52" s="119">
        <v>0</v>
      </c>
      <c r="AB52" s="134" t="s">
        <v>212</v>
      </c>
      <c r="AC52" s="89" t="s">
        <v>212</v>
      </c>
      <c r="AD52" s="113" t="s">
        <v>39</v>
      </c>
      <c r="AE52" s="137" t="s">
        <v>40</v>
      </c>
      <c r="AF52" s="115"/>
      <c r="AG52" s="115"/>
    </row>
    <row r="53" spans="1:33" s="114" customFormat="1" ht="18" customHeight="1" x14ac:dyDescent="0.25">
      <c r="A53" s="89" t="s">
        <v>239</v>
      </c>
      <c r="B53" s="89" t="s">
        <v>240</v>
      </c>
      <c r="C53" s="116">
        <v>0</v>
      </c>
      <c r="D53" s="116">
        <v>0</v>
      </c>
      <c r="E53" s="116">
        <v>0</v>
      </c>
      <c r="F53" s="116">
        <v>2</v>
      </c>
      <c r="G53" s="116">
        <v>0</v>
      </c>
      <c r="H53" s="116">
        <v>0</v>
      </c>
      <c r="I53" s="116">
        <v>0</v>
      </c>
      <c r="J53" s="116">
        <v>0</v>
      </c>
      <c r="K53" s="116" t="s">
        <v>219</v>
      </c>
      <c r="L53" s="89" t="s">
        <v>220</v>
      </c>
      <c r="M53" s="94" t="s">
        <v>241</v>
      </c>
      <c r="N53" s="117">
        <v>2</v>
      </c>
      <c r="O53" s="118">
        <v>2</v>
      </c>
      <c r="P53" s="119">
        <v>0</v>
      </c>
      <c r="Q53" s="120">
        <v>0</v>
      </c>
      <c r="R53" s="120">
        <v>0</v>
      </c>
      <c r="S53" s="120">
        <v>0</v>
      </c>
      <c r="T53" s="120">
        <v>0</v>
      </c>
      <c r="U53" s="120">
        <v>0</v>
      </c>
      <c r="V53" s="120">
        <v>0</v>
      </c>
      <c r="W53" s="120">
        <v>0</v>
      </c>
      <c r="X53" s="119">
        <v>0</v>
      </c>
      <c r="Y53" s="121">
        <v>0</v>
      </c>
      <c r="Z53" s="122">
        <v>0</v>
      </c>
      <c r="AA53" s="119">
        <v>0</v>
      </c>
      <c r="AB53" s="134" t="s">
        <v>239</v>
      </c>
      <c r="AC53" s="134" t="s">
        <v>239</v>
      </c>
      <c r="AD53" s="137" t="s">
        <v>53</v>
      </c>
      <c r="AE53" s="137" t="s">
        <v>40</v>
      </c>
      <c r="AF53" s="114" t="s">
        <v>242</v>
      </c>
    </row>
    <row r="54" spans="1:33" s="114" customFormat="1" ht="18" customHeight="1" x14ac:dyDescent="0.25">
      <c r="A54" s="89" t="s">
        <v>239</v>
      </c>
      <c r="B54" s="89" t="s">
        <v>243</v>
      </c>
      <c r="C54" s="116">
        <v>0</v>
      </c>
      <c r="D54" s="116">
        <v>0</v>
      </c>
      <c r="E54" s="116">
        <v>0</v>
      </c>
      <c r="F54" s="116">
        <v>1</v>
      </c>
      <c r="G54" s="116">
        <v>0</v>
      </c>
      <c r="H54" s="116">
        <v>0</v>
      </c>
      <c r="I54" s="116">
        <v>0</v>
      </c>
      <c r="J54" s="116">
        <v>0</v>
      </c>
      <c r="K54" s="116" t="s">
        <v>244</v>
      </c>
      <c r="L54" s="89" t="s">
        <v>245</v>
      </c>
      <c r="M54" s="94" t="s">
        <v>246</v>
      </c>
      <c r="N54" s="117">
        <v>1</v>
      </c>
      <c r="O54" s="118">
        <v>1</v>
      </c>
      <c r="P54" s="119">
        <v>0</v>
      </c>
      <c r="Q54" s="120">
        <v>0</v>
      </c>
      <c r="R54" s="120">
        <v>0</v>
      </c>
      <c r="S54" s="120">
        <v>0</v>
      </c>
      <c r="T54" s="120">
        <v>0</v>
      </c>
      <c r="U54" s="120">
        <v>0</v>
      </c>
      <c r="V54" s="120">
        <v>0</v>
      </c>
      <c r="W54" s="120">
        <v>0</v>
      </c>
      <c r="X54" s="119">
        <v>0</v>
      </c>
      <c r="Y54" s="121">
        <v>0</v>
      </c>
      <c r="Z54" s="122">
        <v>0</v>
      </c>
      <c r="AA54" s="119">
        <v>0</v>
      </c>
      <c r="AB54" s="134" t="s">
        <v>239</v>
      </c>
      <c r="AC54" s="134" t="s">
        <v>239</v>
      </c>
      <c r="AD54" s="137" t="s">
        <v>53</v>
      </c>
      <c r="AE54" s="137" t="s">
        <v>40</v>
      </c>
      <c r="AF54" s="114" t="s">
        <v>247</v>
      </c>
    </row>
    <row r="55" spans="1:33" s="114" customFormat="1" ht="18" customHeight="1" x14ac:dyDescent="0.25">
      <c r="A55" s="89" t="s">
        <v>239</v>
      </c>
      <c r="B55" s="89" t="s">
        <v>112</v>
      </c>
      <c r="C55" s="116">
        <v>0</v>
      </c>
      <c r="D55" s="116">
        <v>0</v>
      </c>
      <c r="E55" s="116">
        <v>0</v>
      </c>
      <c r="F55" s="116">
        <v>0</v>
      </c>
      <c r="G55" s="116">
        <v>3</v>
      </c>
      <c r="H55" s="116">
        <v>0</v>
      </c>
      <c r="I55" s="116">
        <v>0</v>
      </c>
      <c r="J55" s="116">
        <v>0</v>
      </c>
      <c r="K55" s="116" t="s">
        <v>248</v>
      </c>
      <c r="L55" s="89" t="s">
        <v>249</v>
      </c>
      <c r="M55" s="94" t="s">
        <v>250</v>
      </c>
      <c r="N55" s="117">
        <v>3</v>
      </c>
      <c r="O55" s="118">
        <v>3</v>
      </c>
      <c r="P55" s="119">
        <v>0</v>
      </c>
      <c r="Q55" s="120">
        <v>0</v>
      </c>
      <c r="R55" s="120">
        <v>0</v>
      </c>
      <c r="S55" s="120">
        <v>0</v>
      </c>
      <c r="T55" s="120">
        <v>0</v>
      </c>
      <c r="U55" s="120">
        <v>0</v>
      </c>
      <c r="V55" s="120">
        <v>0</v>
      </c>
      <c r="W55" s="120">
        <v>0</v>
      </c>
      <c r="X55" s="119">
        <v>0</v>
      </c>
      <c r="Y55" s="121">
        <v>0</v>
      </c>
      <c r="Z55" s="122">
        <v>0</v>
      </c>
      <c r="AA55" s="119">
        <v>0</v>
      </c>
      <c r="AB55" s="134" t="s">
        <v>239</v>
      </c>
      <c r="AC55" s="134" t="s">
        <v>239</v>
      </c>
      <c r="AD55" s="137" t="s">
        <v>58</v>
      </c>
      <c r="AE55" s="137" t="s">
        <v>40</v>
      </c>
    </row>
    <row r="56" spans="1:33" s="114" customFormat="1" ht="18" customHeight="1" x14ac:dyDescent="0.25">
      <c r="A56" s="89" t="s">
        <v>239</v>
      </c>
      <c r="B56" s="89" t="s">
        <v>251</v>
      </c>
      <c r="C56" s="116">
        <v>1</v>
      </c>
      <c r="D56" s="116">
        <v>1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 t="s">
        <v>252</v>
      </c>
      <c r="L56" s="89" t="s">
        <v>253</v>
      </c>
      <c r="M56" s="94" t="s">
        <v>254</v>
      </c>
      <c r="N56" s="117">
        <v>1</v>
      </c>
      <c r="O56" s="118">
        <v>1</v>
      </c>
      <c r="P56" s="119">
        <v>0</v>
      </c>
      <c r="Q56" s="120">
        <v>0</v>
      </c>
      <c r="R56" s="120">
        <v>0</v>
      </c>
      <c r="S56" s="120">
        <v>0</v>
      </c>
      <c r="T56" s="120">
        <v>0</v>
      </c>
      <c r="U56" s="120">
        <v>0</v>
      </c>
      <c r="V56" s="120">
        <v>0</v>
      </c>
      <c r="W56" s="120">
        <v>0</v>
      </c>
      <c r="X56" s="119">
        <v>0</v>
      </c>
      <c r="Y56" s="121">
        <v>0</v>
      </c>
      <c r="Z56" s="122">
        <v>0</v>
      </c>
      <c r="AA56" s="119">
        <v>0</v>
      </c>
      <c r="AB56" s="134" t="s">
        <v>239</v>
      </c>
      <c r="AC56" s="134" t="s">
        <v>239</v>
      </c>
      <c r="AD56" s="137" t="s">
        <v>58</v>
      </c>
      <c r="AE56" s="137" t="s">
        <v>40</v>
      </c>
    </row>
    <row r="57" spans="1:33" s="114" customFormat="1" ht="18" customHeight="1" x14ac:dyDescent="0.25">
      <c r="A57" s="89" t="s">
        <v>255</v>
      </c>
      <c r="B57" s="89" t="s">
        <v>256</v>
      </c>
      <c r="C57" s="116">
        <v>0</v>
      </c>
      <c r="D57" s="116">
        <v>0</v>
      </c>
      <c r="E57" s="116">
        <v>0</v>
      </c>
      <c r="F57" s="116">
        <v>2</v>
      </c>
      <c r="G57" s="116">
        <v>0</v>
      </c>
      <c r="H57" s="116">
        <v>0</v>
      </c>
      <c r="I57" s="116">
        <v>0</v>
      </c>
      <c r="J57" s="116">
        <v>0</v>
      </c>
      <c r="K57" s="116" t="s">
        <v>36</v>
      </c>
      <c r="L57" s="89" t="s">
        <v>257</v>
      </c>
      <c r="M57" s="94" t="s">
        <v>258</v>
      </c>
      <c r="N57" s="117">
        <v>2</v>
      </c>
      <c r="O57" s="118">
        <v>2</v>
      </c>
      <c r="P57" s="119">
        <v>0</v>
      </c>
      <c r="Q57" s="120">
        <v>0</v>
      </c>
      <c r="R57" s="120">
        <v>0</v>
      </c>
      <c r="S57" s="120">
        <v>0</v>
      </c>
      <c r="T57" s="120">
        <v>0</v>
      </c>
      <c r="U57" s="120">
        <v>0</v>
      </c>
      <c r="V57" s="120">
        <v>0</v>
      </c>
      <c r="W57" s="120">
        <v>0</v>
      </c>
      <c r="X57" s="119">
        <v>0</v>
      </c>
      <c r="Y57" s="121">
        <v>0</v>
      </c>
      <c r="Z57" s="122">
        <v>0</v>
      </c>
      <c r="AA57" s="119">
        <v>0</v>
      </c>
      <c r="AB57" s="134" t="s">
        <v>255</v>
      </c>
      <c r="AC57" s="134" t="s">
        <v>255</v>
      </c>
      <c r="AD57" s="137" t="s">
        <v>40</v>
      </c>
      <c r="AE57" s="137" t="s">
        <v>40</v>
      </c>
      <c r="AF57" s="114" t="s">
        <v>259</v>
      </c>
    </row>
    <row r="58" spans="1:33" s="114" customFormat="1" ht="18" customHeight="1" x14ac:dyDescent="0.25">
      <c r="A58" s="89" t="s">
        <v>255</v>
      </c>
      <c r="B58" s="89" t="s">
        <v>260</v>
      </c>
      <c r="C58" s="116">
        <v>0</v>
      </c>
      <c r="D58" s="116">
        <v>0</v>
      </c>
      <c r="E58" s="116">
        <v>0</v>
      </c>
      <c r="F58" s="116">
        <v>2</v>
      </c>
      <c r="G58" s="116">
        <v>0</v>
      </c>
      <c r="H58" s="116">
        <v>0</v>
      </c>
      <c r="I58" s="116">
        <v>0</v>
      </c>
      <c r="J58" s="116">
        <v>0</v>
      </c>
      <c r="K58" s="116" t="s">
        <v>36</v>
      </c>
      <c r="L58" s="89" t="s">
        <v>257</v>
      </c>
      <c r="M58" s="94" t="s">
        <v>261</v>
      </c>
      <c r="N58" s="117">
        <v>2</v>
      </c>
      <c r="O58" s="118">
        <v>2</v>
      </c>
      <c r="P58" s="119">
        <v>0</v>
      </c>
      <c r="Q58" s="120">
        <v>0</v>
      </c>
      <c r="R58" s="120">
        <v>0</v>
      </c>
      <c r="S58" s="120">
        <v>0</v>
      </c>
      <c r="T58" s="120">
        <v>0</v>
      </c>
      <c r="U58" s="120">
        <v>0</v>
      </c>
      <c r="V58" s="120">
        <v>0</v>
      </c>
      <c r="W58" s="120">
        <v>0</v>
      </c>
      <c r="X58" s="119">
        <v>0</v>
      </c>
      <c r="Y58" s="121">
        <v>0</v>
      </c>
      <c r="Z58" s="122">
        <v>0</v>
      </c>
      <c r="AA58" s="119">
        <v>0</v>
      </c>
      <c r="AB58" s="134" t="s">
        <v>255</v>
      </c>
      <c r="AC58" s="134" t="s">
        <v>255</v>
      </c>
      <c r="AD58" s="137" t="s">
        <v>58</v>
      </c>
      <c r="AE58" s="137" t="s">
        <v>40</v>
      </c>
      <c r="AF58" s="114" t="s">
        <v>262</v>
      </c>
    </row>
    <row r="59" spans="1:33" s="114" customFormat="1" ht="18" customHeight="1" x14ac:dyDescent="0.25">
      <c r="A59" s="89" t="s">
        <v>255</v>
      </c>
      <c r="B59" s="89" t="s">
        <v>263</v>
      </c>
      <c r="C59" s="116">
        <v>1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 t="s">
        <v>264</v>
      </c>
      <c r="L59" s="89" t="s">
        <v>265</v>
      </c>
      <c r="M59" s="94" t="s">
        <v>266</v>
      </c>
      <c r="N59" s="117">
        <v>1</v>
      </c>
      <c r="O59" s="118">
        <v>0</v>
      </c>
      <c r="P59" s="119">
        <v>1</v>
      </c>
      <c r="Q59" s="120">
        <v>1</v>
      </c>
      <c r="R59" s="120">
        <v>0</v>
      </c>
      <c r="S59" s="120">
        <v>0</v>
      </c>
      <c r="T59" s="120">
        <v>0</v>
      </c>
      <c r="U59" s="120">
        <v>0</v>
      </c>
      <c r="V59" s="120">
        <v>0</v>
      </c>
      <c r="W59" s="120">
        <v>0</v>
      </c>
      <c r="X59" s="119">
        <v>0</v>
      </c>
      <c r="Y59" s="121">
        <v>0</v>
      </c>
      <c r="Z59" s="122">
        <v>0</v>
      </c>
      <c r="AA59" s="119">
        <v>0</v>
      </c>
      <c r="AB59" s="134" t="s">
        <v>255</v>
      </c>
      <c r="AC59" s="134" t="s">
        <v>255</v>
      </c>
      <c r="AD59" s="137" t="s">
        <v>72</v>
      </c>
      <c r="AE59" s="137" t="s">
        <v>40</v>
      </c>
      <c r="AF59" s="114" t="s">
        <v>267</v>
      </c>
    </row>
    <row r="60" spans="1:33" s="114" customFormat="1" ht="18" customHeight="1" x14ac:dyDescent="0.25">
      <c r="A60" s="89" t="s">
        <v>255</v>
      </c>
      <c r="B60" s="89" t="s">
        <v>268</v>
      </c>
      <c r="C60" s="116">
        <v>0</v>
      </c>
      <c r="D60" s="116">
        <v>0</v>
      </c>
      <c r="E60" s="116">
        <v>0</v>
      </c>
      <c r="F60" s="116">
        <v>1</v>
      </c>
      <c r="G60" s="116">
        <v>0</v>
      </c>
      <c r="H60" s="116">
        <v>0</v>
      </c>
      <c r="I60" s="116">
        <v>0</v>
      </c>
      <c r="J60" s="116">
        <v>0</v>
      </c>
      <c r="K60" s="116" t="s">
        <v>269</v>
      </c>
      <c r="L60" s="89" t="s">
        <v>270</v>
      </c>
      <c r="M60" s="94" t="s">
        <v>271</v>
      </c>
      <c r="N60" s="117">
        <v>1</v>
      </c>
      <c r="O60" s="118">
        <v>0</v>
      </c>
      <c r="P60" s="119">
        <v>1</v>
      </c>
      <c r="Q60" s="120">
        <v>0</v>
      </c>
      <c r="R60" s="120">
        <v>0</v>
      </c>
      <c r="S60" s="120">
        <v>0</v>
      </c>
      <c r="T60" s="120">
        <v>0</v>
      </c>
      <c r="U60" s="120">
        <v>0</v>
      </c>
      <c r="V60" s="120">
        <v>1</v>
      </c>
      <c r="W60" s="120">
        <v>0</v>
      </c>
      <c r="X60" s="119">
        <v>0</v>
      </c>
      <c r="Y60" s="121">
        <v>1</v>
      </c>
      <c r="Z60" s="122">
        <v>0</v>
      </c>
      <c r="AA60" s="119">
        <v>0</v>
      </c>
      <c r="AB60" s="134" t="s">
        <v>255</v>
      </c>
      <c r="AC60" s="134" t="s">
        <v>255</v>
      </c>
      <c r="AD60" s="113" t="s">
        <v>39</v>
      </c>
      <c r="AE60" s="137" t="s">
        <v>40</v>
      </c>
      <c r="AF60" s="114" t="s">
        <v>272</v>
      </c>
    </row>
    <row r="61" spans="1:33" s="114" customFormat="1" ht="18" customHeight="1" x14ac:dyDescent="0.25">
      <c r="A61" s="89" t="s">
        <v>255</v>
      </c>
      <c r="B61" s="89" t="s">
        <v>273</v>
      </c>
      <c r="C61" s="116">
        <v>1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 t="s">
        <v>274</v>
      </c>
      <c r="L61" s="89" t="s">
        <v>275</v>
      </c>
      <c r="M61" s="94" t="s">
        <v>276</v>
      </c>
      <c r="N61" s="117">
        <v>1</v>
      </c>
      <c r="O61" s="118">
        <v>1</v>
      </c>
      <c r="P61" s="119">
        <v>0</v>
      </c>
      <c r="Q61" s="120">
        <v>0</v>
      </c>
      <c r="R61" s="120">
        <v>0</v>
      </c>
      <c r="S61" s="120">
        <v>0</v>
      </c>
      <c r="T61" s="120">
        <v>0</v>
      </c>
      <c r="U61" s="120">
        <v>0</v>
      </c>
      <c r="V61" s="120">
        <v>0</v>
      </c>
      <c r="W61" s="120">
        <v>0</v>
      </c>
      <c r="X61" s="119">
        <v>0</v>
      </c>
      <c r="Y61" s="121">
        <v>0</v>
      </c>
      <c r="Z61" s="122">
        <v>0</v>
      </c>
      <c r="AA61" s="119">
        <v>0</v>
      </c>
      <c r="AB61" s="134" t="s">
        <v>255</v>
      </c>
      <c r="AC61" s="134" t="s">
        <v>255</v>
      </c>
      <c r="AD61" s="137" t="s">
        <v>277</v>
      </c>
      <c r="AE61" s="137" t="s">
        <v>40</v>
      </c>
      <c r="AF61" s="114" t="s">
        <v>278</v>
      </c>
    </row>
    <row r="62" spans="1:33" s="114" customFormat="1" ht="18" customHeight="1" x14ac:dyDescent="0.25">
      <c r="A62" s="89" t="s">
        <v>255</v>
      </c>
      <c r="B62" s="89" t="s">
        <v>279</v>
      </c>
      <c r="C62" s="116">
        <v>0</v>
      </c>
      <c r="D62" s="116">
        <v>0</v>
      </c>
      <c r="E62" s="116">
        <v>0</v>
      </c>
      <c r="F62" s="116">
        <v>1</v>
      </c>
      <c r="G62" s="116">
        <v>0</v>
      </c>
      <c r="H62" s="116">
        <v>0</v>
      </c>
      <c r="I62" s="116">
        <v>0</v>
      </c>
      <c r="J62" s="116">
        <v>0</v>
      </c>
      <c r="K62" s="116" t="s">
        <v>280</v>
      </c>
      <c r="L62" s="89" t="s">
        <v>281</v>
      </c>
      <c r="M62" s="94" t="s">
        <v>282</v>
      </c>
      <c r="N62" s="117">
        <v>1</v>
      </c>
      <c r="O62" s="118">
        <v>1</v>
      </c>
      <c r="P62" s="119">
        <v>0</v>
      </c>
      <c r="Q62" s="120">
        <v>0</v>
      </c>
      <c r="R62" s="120">
        <v>0</v>
      </c>
      <c r="S62" s="120">
        <v>0</v>
      </c>
      <c r="T62" s="120">
        <v>0</v>
      </c>
      <c r="U62" s="120">
        <v>0</v>
      </c>
      <c r="V62" s="120">
        <v>0</v>
      </c>
      <c r="W62" s="120">
        <v>0</v>
      </c>
      <c r="X62" s="119">
        <v>0</v>
      </c>
      <c r="Y62" s="121">
        <v>0</v>
      </c>
      <c r="Z62" s="122">
        <v>0</v>
      </c>
      <c r="AA62" s="119">
        <v>0</v>
      </c>
      <c r="AB62" s="134" t="s">
        <v>255</v>
      </c>
      <c r="AC62" s="134" t="s">
        <v>255</v>
      </c>
      <c r="AD62" s="137" t="s">
        <v>58</v>
      </c>
      <c r="AE62" s="137" t="s">
        <v>40</v>
      </c>
      <c r="AF62" s="114" t="s">
        <v>283</v>
      </c>
    </row>
    <row r="63" spans="1:33" s="114" customFormat="1" ht="18" customHeight="1" x14ac:dyDescent="0.25">
      <c r="A63" s="89" t="s">
        <v>255</v>
      </c>
      <c r="B63" s="89" t="s">
        <v>284</v>
      </c>
      <c r="C63" s="116">
        <v>0</v>
      </c>
      <c r="D63" s="116">
        <v>0</v>
      </c>
      <c r="E63" s="116">
        <v>0</v>
      </c>
      <c r="F63" s="116">
        <v>1</v>
      </c>
      <c r="G63" s="116">
        <v>0</v>
      </c>
      <c r="H63" s="116">
        <v>0</v>
      </c>
      <c r="I63" s="116">
        <v>0</v>
      </c>
      <c r="J63" s="116">
        <v>0</v>
      </c>
      <c r="K63" s="116" t="s">
        <v>280</v>
      </c>
      <c r="L63" s="89" t="s">
        <v>281</v>
      </c>
      <c r="M63" s="94" t="s">
        <v>285</v>
      </c>
      <c r="N63" s="117">
        <v>1</v>
      </c>
      <c r="O63" s="118">
        <v>1</v>
      </c>
      <c r="P63" s="119">
        <v>0</v>
      </c>
      <c r="Q63" s="120">
        <v>0</v>
      </c>
      <c r="R63" s="120">
        <v>0</v>
      </c>
      <c r="S63" s="120">
        <v>0</v>
      </c>
      <c r="T63" s="120">
        <v>0</v>
      </c>
      <c r="U63" s="120">
        <v>0</v>
      </c>
      <c r="V63" s="120">
        <v>0</v>
      </c>
      <c r="W63" s="120">
        <v>0</v>
      </c>
      <c r="X63" s="119">
        <v>0</v>
      </c>
      <c r="Y63" s="121">
        <v>0</v>
      </c>
      <c r="Z63" s="122">
        <v>0</v>
      </c>
      <c r="AA63" s="119">
        <v>0</v>
      </c>
      <c r="AB63" s="134" t="s">
        <v>255</v>
      </c>
      <c r="AC63" s="134" t="s">
        <v>255</v>
      </c>
      <c r="AD63" s="137" t="s">
        <v>58</v>
      </c>
      <c r="AE63" s="137" t="s">
        <v>40</v>
      </c>
      <c r="AF63" s="114" t="s">
        <v>283</v>
      </c>
    </row>
    <row r="64" spans="1:33" s="114" customFormat="1" ht="18" customHeight="1" x14ac:dyDescent="0.25">
      <c r="A64" s="89" t="s">
        <v>255</v>
      </c>
      <c r="B64" s="89" t="s">
        <v>286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1</v>
      </c>
      <c r="J64" s="116">
        <v>0</v>
      </c>
      <c r="K64" s="116" t="s">
        <v>287</v>
      </c>
      <c r="L64" s="89" t="s">
        <v>288</v>
      </c>
      <c r="M64" s="94" t="s">
        <v>289</v>
      </c>
      <c r="N64" s="117">
        <v>1</v>
      </c>
      <c r="O64" s="118">
        <v>0</v>
      </c>
      <c r="P64" s="119">
        <v>1</v>
      </c>
      <c r="Q64" s="120">
        <v>1</v>
      </c>
      <c r="R64" s="120">
        <v>0</v>
      </c>
      <c r="S64" s="120">
        <v>0</v>
      </c>
      <c r="T64" s="120">
        <v>0</v>
      </c>
      <c r="U64" s="120">
        <v>0</v>
      </c>
      <c r="V64" s="120">
        <v>0</v>
      </c>
      <c r="W64" s="120">
        <v>0</v>
      </c>
      <c r="X64" s="119">
        <v>0</v>
      </c>
      <c r="Y64" s="121">
        <v>1</v>
      </c>
      <c r="Z64" s="122">
        <v>0</v>
      </c>
      <c r="AA64" s="119">
        <v>0</v>
      </c>
      <c r="AB64" s="134" t="s">
        <v>255</v>
      </c>
      <c r="AC64" s="134" t="s">
        <v>255</v>
      </c>
      <c r="AD64" s="137" t="s">
        <v>39</v>
      </c>
      <c r="AE64" s="137" t="s">
        <v>40</v>
      </c>
      <c r="AF64" s="114" t="s">
        <v>290</v>
      </c>
    </row>
    <row r="65" spans="1:32" s="114" customFormat="1" ht="18" customHeight="1" x14ac:dyDescent="0.25">
      <c r="A65" s="89" t="s">
        <v>255</v>
      </c>
      <c r="B65" s="89" t="s">
        <v>291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 t="s">
        <v>292</v>
      </c>
      <c r="L65" s="89" t="s">
        <v>293</v>
      </c>
      <c r="M65" s="94" t="s">
        <v>294</v>
      </c>
      <c r="N65" s="117">
        <v>1</v>
      </c>
      <c r="O65" s="118">
        <v>1</v>
      </c>
      <c r="P65" s="119">
        <v>0</v>
      </c>
      <c r="Q65" s="120">
        <v>0</v>
      </c>
      <c r="R65" s="120">
        <v>0</v>
      </c>
      <c r="S65" s="120">
        <v>0</v>
      </c>
      <c r="T65" s="120">
        <v>0</v>
      </c>
      <c r="U65" s="120">
        <v>0</v>
      </c>
      <c r="V65" s="120">
        <v>0</v>
      </c>
      <c r="W65" s="120">
        <v>0</v>
      </c>
      <c r="X65" s="119">
        <v>0</v>
      </c>
      <c r="Y65" s="121">
        <v>0</v>
      </c>
      <c r="Z65" s="122">
        <v>0</v>
      </c>
      <c r="AA65" s="119">
        <v>0</v>
      </c>
      <c r="AB65" s="134" t="s">
        <v>255</v>
      </c>
      <c r="AC65" s="134" t="s">
        <v>255</v>
      </c>
      <c r="AD65" s="137" t="s">
        <v>146</v>
      </c>
      <c r="AE65" s="137" t="s">
        <v>40</v>
      </c>
      <c r="AF65" s="201" t="s">
        <v>295</v>
      </c>
    </row>
    <row r="66" spans="1:32" s="114" customFormat="1" ht="18" customHeight="1" x14ac:dyDescent="0.25">
      <c r="A66" s="89" t="s">
        <v>255</v>
      </c>
      <c r="B66" s="89" t="s">
        <v>296</v>
      </c>
      <c r="C66" s="116">
        <v>0</v>
      </c>
      <c r="D66" s="116">
        <v>0</v>
      </c>
      <c r="E66" s="116">
        <v>0</v>
      </c>
      <c r="F66" s="116">
        <v>0</v>
      </c>
      <c r="G66" s="116">
        <v>0</v>
      </c>
      <c r="H66" s="116">
        <v>0</v>
      </c>
      <c r="I66" s="116">
        <v>0</v>
      </c>
      <c r="J66" s="116">
        <v>0</v>
      </c>
      <c r="K66" s="116" t="s">
        <v>292</v>
      </c>
      <c r="L66" s="89" t="s">
        <v>293</v>
      </c>
      <c r="M66" s="94" t="s">
        <v>297</v>
      </c>
      <c r="N66" s="117">
        <v>1</v>
      </c>
      <c r="O66" s="118">
        <v>1</v>
      </c>
      <c r="P66" s="119">
        <v>0</v>
      </c>
      <c r="Q66" s="120">
        <v>0</v>
      </c>
      <c r="R66" s="120">
        <v>0</v>
      </c>
      <c r="S66" s="120">
        <v>0</v>
      </c>
      <c r="T66" s="120">
        <v>0</v>
      </c>
      <c r="U66" s="120">
        <v>0</v>
      </c>
      <c r="V66" s="120">
        <v>0</v>
      </c>
      <c r="W66" s="120">
        <v>0</v>
      </c>
      <c r="X66" s="119">
        <v>0</v>
      </c>
      <c r="Y66" s="121">
        <v>0</v>
      </c>
      <c r="Z66" s="122">
        <v>0</v>
      </c>
      <c r="AA66" s="119">
        <v>0</v>
      </c>
      <c r="AB66" s="134" t="s">
        <v>255</v>
      </c>
      <c r="AC66" s="134" t="s">
        <v>255</v>
      </c>
      <c r="AD66" s="137" t="s">
        <v>146</v>
      </c>
      <c r="AE66" s="137" t="s">
        <v>40</v>
      </c>
      <c r="AF66" s="202"/>
    </row>
    <row r="67" spans="1:32" s="199" customFormat="1" ht="18" customHeight="1" x14ac:dyDescent="0.25">
      <c r="A67" s="188" t="s">
        <v>298</v>
      </c>
      <c r="B67" s="188"/>
      <c r="C67" s="189">
        <v>0</v>
      </c>
      <c r="D67" s="189">
        <v>0</v>
      </c>
      <c r="E67" s="189">
        <v>0</v>
      </c>
      <c r="F67" s="189">
        <v>0</v>
      </c>
      <c r="G67" s="189">
        <v>0</v>
      </c>
      <c r="H67" s="189">
        <v>0</v>
      </c>
      <c r="I67" s="189">
        <v>0</v>
      </c>
      <c r="J67" s="189">
        <v>0</v>
      </c>
      <c r="K67" s="189" t="s">
        <v>299</v>
      </c>
      <c r="L67" s="188"/>
      <c r="M67" s="190"/>
      <c r="N67" s="191">
        <v>4</v>
      </c>
      <c r="O67" s="192">
        <v>4</v>
      </c>
      <c r="P67" s="193">
        <v>0</v>
      </c>
      <c r="Q67" s="194">
        <v>0</v>
      </c>
      <c r="R67" s="194">
        <v>0</v>
      </c>
      <c r="S67" s="194">
        <v>0</v>
      </c>
      <c r="T67" s="194">
        <v>0</v>
      </c>
      <c r="U67" s="194">
        <v>0</v>
      </c>
      <c r="V67" s="194">
        <v>0</v>
      </c>
      <c r="W67" s="194">
        <v>0</v>
      </c>
      <c r="X67" s="193">
        <v>0</v>
      </c>
      <c r="Y67" s="195">
        <v>0</v>
      </c>
      <c r="Z67" s="196">
        <v>0</v>
      </c>
      <c r="AA67" s="193">
        <v>0</v>
      </c>
      <c r="AB67" s="197"/>
      <c r="AC67" s="197"/>
      <c r="AD67" s="198"/>
      <c r="AE67" s="198"/>
    </row>
    <row r="68" spans="1:32" s="199" customFormat="1" ht="18" customHeight="1" x14ac:dyDescent="0.25">
      <c r="A68" s="188" t="s">
        <v>298</v>
      </c>
      <c r="B68" s="188"/>
      <c r="C68" s="189">
        <v>0</v>
      </c>
      <c r="D68" s="189">
        <v>0</v>
      </c>
      <c r="E68" s="189">
        <v>0</v>
      </c>
      <c r="F68" s="189">
        <v>0</v>
      </c>
      <c r="G68" s="189">
        <v>0</v>
      </c>
      <c r="H68" s="189">
        <v>0</v>
      </c>
      <c r="I68" s="189">
        <v>0</v>
      </c>
      <c r="J68" s="189">
        <v>0</v>
      </c>
      <c r="K68" s="189" t="s">
        <v>300</v>
      </c>
      <c r="L68" s="188"/>
      <c r="M68" s="190"/>
      <c r="N68" s="191">
        <v>2</v>
      </c>
      <c r="O68" s="192">
        <v>2</v>
      </c>
      <c r="P68" s="193">
        <v>0</v>
      </c>
      <c r="Q68" s="194">
        <v>0</v>
      </c>
      <c r="R68" s="194">
        <v>0</v>
      </c>
      <c r="S68" s="194">
        <v>0</v>
      </c>
      <c r="T68" s="194">
        <v>0</v>
      </c>
      <c r="U68" s="194">
        <v>0</v>
      </c>
      <c r="V68" s="194">
        <v>0</v>
      </c>
      <c r="W68" s="194">
        <v>0</v>
      </c>
      <c r="X68" s="193">
        <v>0</v>
      </c>
      <c r="Y68" s="195">
        <v>0</v>
      </c>
      <c r="Z68" s="196">
        <v>0</v>
      </c>
      <c r="AA68" s="193">
        <v>0</v>
      </c>
      <c r="AB68" s="197"/>
      <c r="AC68" s="197"/>
      <c r="AD68" s="198"/>
      <c r="AE68" s="198"/>
    </row>
    <row r="69" spans="1:32" s="187" customFormat="1" ht="18" customHeight="1" x14ac:dyDescent="0.25">
      <c r="A69" s="176" t="s">
        <v>298</v>
      </c>
      <c r="B69" s="176"/>
      <c r="C69" s="177">
        <v>0</v>
      </c>
      <c r="D69" s="177">
        <v>0</v>
      </c>
      <c r="E69" s="177">
        <v>0</v>
      </c>
      <c r="F69" s="177">
        <v>0</v>
      </c>
      <c r="G69" s="177">
        <v>0</v>
      </c>
      <c r="H69" s="177">
        <v>0</v>
      </c>
      <c r="I69" s="177">
        <v>0</v>
      </c>
      <c r="J69" s="177">
        <v>0</v>
      </c>
      <c r="K69" s="177" t="s">
        <v>301</v>
      </c>
      <c r="L69" s="176"/>
      <c r="M69" s="178"/>
      <c r="N69" s="179">
        <v>6</v>
      </c>
      <c r="O69" s="180">
        <v>4</v>
      </c>
      <c r="P69" s="181">
        <v>2</v>
      </c>
      <c r="Q69" s="182">
        <v>2</v>
      </c>
      <c r="R69" s="182">
        <v>0</v>
      </c>
      <c r="S69" s="182">
        <v>0</v>
      </c>
      <c r="T69" s="182">
        <v>0</v>
      </c>
      <c r="U69" s="182">
        <v>0</v>
      </c>
      <c r="V69" s="182">
        <v>0</v>
      </c>
      <c r="W69" s="182">
        <v>0</v>
      </c>
      <c r="X69" s="181">
        <v>0</v>
      </c>
      <c r="Y69" s="183">
        <v>0</v>
      </c>
      <c r="Z69" s="184">
        <v>0</v>
      </c>
      <c r="AA69" s="181">
        <v>0</v>
      </c>
      <c r="AB69" s="185"/>
      <c r="AC69" s="185"/>
      <c r="AD69" s="186"/>
      <c r="AE69" s="186"/>
      <c r="AF69" s="187" t="s">
        <v>302</v>
      </c>
    </row>
    <row r="70" spans="1:32" s="114" customFormat="1" ht="18" customHeight="1" x14ac:dyDescent="0.25">
      <c r="A70" s="89" t="s">
        <v>298</v>
      </c>
      <c r="B70" s="89" t="s">
        <v>303</v>
      </c>
      <c r="C70" s="116">
        <v>0</v>
      </c>
      <c r="D70" s="116">
        <v>0</v>
      </c>
      <c r="E70" s="116">
        <v>0</v>
      </c>
      <c r="F70" s="116">
        <v>2</v>
      </c>
      <c r="G70" s="116">
        <v>0</v>
      </c>
      <c r="H70" s="116">
        <v>0</v>
      </c>
      <c r="I70" s="116">
        <v>0</v>
      </c>
      <c r="J70" s="116">
        <v>0</v>
      </c>
      <c r="K70" s="116" t="s">
        <v>304</v>
      </c>
      <c r="L70" s="89" t="s">
        <v>305</v>
      </c>
      <c r="M70" s="94" t="s">
        <v>306</v>
      </c>
      <c r="N70" s="117">
        <v>2</v>
      </c>
      <c r="O70" s="118">
        <v>2</v>
      </c>
      <c r="P70" s="119">
        <v>0</v>
      </c>
      <c r="Q70" s="120">
        <v>0</v>
      </c>
      <c r="R70" s="120">
        <v>0</v>
      </c>
      <c r="S70" s="120">
        <v>0</v>
      </c>
      <c r="T70" s="120">
        <v>0</v>
      </c>
      <c r="U70" s="120">
        <v>0</v>
      </c>
      <c r="V70" s="120">
        <v>0</v>
      </c>
      <c r="W70" s="120">
        <v>0</v>
      </c>
      <c r="X70" s="119">
        <v>0</v>
      </c>
      <c r="Y70" s="121">
        <v>0</v>
      </c>
      <c r="Z70" s="122">
        <v>0</v>
      </c>
      <c r="AA70" s="119">
        <v>0</v>
      </c>
      <c r="AB70" s="134" t="s">
        <v>298</v>
      </c>
      <c r="AC70" s="134" t="s">
        <v>298</v>
      </c>
      <c r="AD70" s="137" t="s">
        <v>40</v>
      </c>
      <c r="AE70" s="137" t="s">
        <v>40</v>
      </c>
    </row>
    <row r="71" spans="1:32" s="114" customFormat="1" ht="18" customHeight="1" x14ac:dyDescent="0.25">
      <c r="A71" s="89" t="s">
        <v>298</v>
      </c>
      <c r="B71" s="89" t="s">
        <v>307</v>
      </c>
      <c r="C71" s="116">
        <v>0</v>
      </c>
      <c r="D71" s="116">
        <v>0</v>
      </c>
      <c r="E71" s="116">
        <v>0</v>
      </c>
      <c r="F71" s="116">
        <v>1</v>
      </c>
      <c r="G71" s="116">
        <v>0</v>
      </c>
      <c r="H71" s="116">
        <v>0</v>
      </c>
      <c r="I71" s="116">
        <v>0</v>
      </c>
      <c r="J71" s="116">
        <v>0</v>
      </c>
      <c r="K71" s="116" t="s">
        <v>308</v>
      </c>
      <c r="L71" s="89" t="s">
        <v>309</v>
      </c>
      <c r="M71" s="94" t="s">
        <v>310</v>
      </c>
      <c r="N71" s="117">
        <v>1</v>
      </c>
      <c r="O71" s="118">
        <v>1</v>
      </c>
      <c r="P71" s="119">
        <v>0</v>
      </c>
      <c r="Q71" s="120">
        <v>0</v>
      </c>
      <c r="R71" s="120">
        <v>0</v>
      </c>
      <c r="S71" s="120">
        <v>0</v>
      </c>
      <c r="T71" s="120">
        <v>0</v>
      </c>
      <c r="U71" s="120">
        <v>0</v>
      </c>
      <c r="V71" s="120">
        <v>0</v>
      </c>
      <c r="W71" s="120">
        <v>0</v>
      </c>
      <c r="X71" s="119">
        <v>0</v>
      </c>
      <c r="Y71" s="121">
        <v>0</v>
      </c>
      <c r="Z71" s="122">
        <v>0</v>
      </c>
      <c r="AA71" s="119">
        <v>0</v>
      </c>
      <c r="AB71" s="134" t="s">
        <v>298</v>
      </c>
      <c r="AC71" s="134" t="s">
        <v>298</v>
      </c>
      <c r="AD71" s="137" t="s">
        <v>311</v>
      </c>
      <c r="AE71" s="137" t="s">
        <v>40</v>
      </c>
      <c r="AF71" s="114" t="s">
        <v>312</v>
      </c>
    </row>
    <row r="72" spans="1:32" s="114" customFormat="1" ht="18" customHeight="1" x14ac:dyDescent="0.25">
      <c r="A72" s="134" t="s">
        <v>313</v>
      </c>
      <c r="B72" s="89" t="s">
        <v>314</v>
      </c>
      <c r="C72" s="116">
        <v>1</v>
      </c>
      <c r="D72" s="116">
        <v>0</v>
      </c>
      <c r="E72" s="116">
        <v>0</v>
      </c>
      <c r="F72" s="116">
        <v>0</v>
      </c>
      <c r="G72" s="116">
        <v>0</v>
      </c>
      <c r="H72" s="116">
        <v>0</v>
      </c>
      <c r="I72" s="116">
        <v>0</v>
      </c>
      <c r="J72" s="116">
        <v>0</v>
      </c>
      <c r="K72" s="116" t="s">
        <v>244</v>
      </c>
      <c r="L72" s="89" t="s">
        <v>159</v>
      </c>
      <c r="M72" s="94" t="s">
        <v>315</v>
      </c>
      <c r="N72" s="117">
        <v>1</v>
      </c>
      <c r="O72" s="118">
        <v>1</v>
      </c>
      <c r="P72" s="119">
        <v>0</v>
      </c>
      <c r="Q72" s="120">
        <v>0</v>
      </c>
      <c r="R72" s="120">
        <v>0</v>
      </c>
      <c r="S72" s="120">
        <v>0</v>
      </c>
      <c r="T72" s="120">
        <v>0</v>
      </c>
      <c r="U72" s="120">
        <v>0</v>
      </c>
      <c r="V72" s="120">
        <v>0</v>
      </c>
      <c r="W72" s="120">
        <v>0</v>
      </c>
      <c r="X72" s="119">
        <v>0</v>
      </c>
      <c r="Y72" s="121">
        <v>0</v>
      </c>
      <c r="Z72" s="122">
        <v>0</v>
      </c>
      <c r="AA72" s="119">
        <v>0</v>
      </c>
      <c r="AB72" s="134" t="s">
        <v>313</v>
      </c>
      <c r="AC72" s="134" t="s">
        <v>313</v>
      </c>
      <c r="AD72" s="137" t="s">
        <v>146</v>
      </c>
      <c r="AE72" s="137" t="s">
        <v>40</v>
      </c>
      <c r="AF72" s="114" t="s">
        <v>316</v>
      </c>
    </row>
    <row r="73" spans="1:32" s="114" customFormat="1" ht="18" customHeight="1" x14ac:dyDescent="0.25">
      <c r="A73" s="134" t="s">
        <v>313</v>
      </c>
      <c r="B73" s="89" t="s">
        <v>317</v>
      </c>
      <c r="C73" s="116">
        <v>0</v>
      </c>
      <c r="D73" s="116">
        <v>0</v>
      </c>
      <c r="E73" s="116">
        <v>0</v>
      </c>
      <c r="F73" s="116">
        <v>2</v>
      </c>
      <c r="G73" s="116">
        <v>0</v>
      </c>
      <c r="H73" s="116">
        <v>0</v>
      </c>
      <c r="I73" s="116">
        <v>0</v>
      </c>
      <c r="J73" s="116">
        <v>0</v>
      </c>
      <c r="K73" s="116" t="s">
        <v>318</v>
      </c>
      <c r="L73" s="89" t="s">
        <v>319</v>
      </c>
      <c r="M73" s="94" t="s">
        <v>320</v>
      </c>
      <c r="N73" s="117">
        <v>2</v>
      </c>
      <c r="O73" s="118">
        <v>2</v>
      </c>
      <c r="P73" s="119">
        <v>0</v>
      </c>
      <c r="Q73" s="120">
        <v>0</v>
      </c>
      <c r="R73" s="120">
        <v>0</v>
      </c>
      <c r="S73" s="120">
        <v>0</v>
      </c>
      <c r="T73" s="120">
        <v>0</v>
      </c>
      <c r="U73" s="120">
        <v>0</v>
      </c>
      <c r="V73" s="120">
        <v>0</v>
      </c>
      <c r="W73" s="120">
        <v>0</v>
      </c>
      <c r="X73" s="119">
        <v>0</v>
      </c>
      <c r="Y73" s="121">
        <v>0</v>
      </c>
      <c r="Z73" s="122">
        <v>0</v>
      </c>
      <c r="AA73" s="119">
        <v>0</v>
      </c>
      <c r="AB73" s="134" t="s">
        <v>313</v>
      </c>
      <c r="AC73" s="134" t="s">
        <v>313</v>
      </c>
      <c r="AD73" s="137" t="s">
        <v>58</v>
      </c>
      <c r="AE73" s="137" t="s">
        <v>40</v>
      </c>
      <c r="AF73" s="114" t="s">
        <v>101</v>
      </c>
    </row>
    <row r="74" spans="1:32" s="114" customFormat="1" ht="18" customHeight="1" x14ac:dyDescent="0.25">
      <c r="A74" s="134" t="s">
        <v>313</v>
      </c>
      <c r="B74" s="89" t="s">
        <v>321</v>
      </c>
      <c r="C74" s="116">
        <v>0</v>
      </c>
      <c r="D74" s="116">
        <v>0</v>
      </c>
      <c r="E74" s="116">
        <v>0</v>
      </c>
      <c r="F74" s="116">
        <v>1</v>
      </c>
      <c r="G74" s="116">
        <v>0</v>
      </c>
      <c r="H74" s="116">
        <v>0</v>
      </c>
      <c r="I74" s="116">
        <v>0</v>
      </c>
      <c r="J74" s="116">
        <v>0</v>
      </c>
      <c r="K74" s="116" t="s">
        <v>318</v>
      </c>
      <c r="L74" s="89" t="s">
        <v>319</v>
      </c>
      <c r="M74" s="94" t="s">
        <v>322</v>
      </c>
      <c r="N74" s="117">
        <v>1</v>
      </c>
      <c r="O74" s="118">
        <v>1</v>
      </c>
      <c r="P74" s="119">
        <v>0</v>
      </c>
      <c r="Q74" s="120">
        <v>0</v>
      </c>
      <c r="R74" s="120">
        <v>0</v>
      </c>
      <c r="S74" s="120">
        <v>0</v>
      </c>
      <c r="T74" s="120">
        <v>0</v>
      </c>
      <c r="U74" s="120">
        <v>0</v>
      </c>
      <c r="V74" s="120">
        <v>0</v>
      </c>
      <c r="W74" s="120">
        <v>0</v>
      </c>
      <c r="X74" s="119">
        <v>0</v>
      </c>
      <c r="Y74" s="121">
        <v>0</v>
      </c>
      <c r="Z74" s="122">
        <v>0</v>
      </c>
      <c r="AA74" s="119">
        <v>0</v>
      </c>
      <c r="AB74" s="134" t="s">
        <v>313</v>
      </c>
      <c r="AC74" s="134" t="s">
        <v>313</v>
      </c>
      <c r="AD74" s="137" t="s">
        <v>53</v>
      </c>
      <c r="AE74" s="137" t="s">
        <v>40</v>
      </c>
      <c r="AF74" s="114" t="s">
        <v>323</v>
      </c>
    </row>
    <row r="75" spans="1:32" s="114" customFormat="1" ht="18" customHeight="1" x14ac:dyDescent="0.25">
      <c r="A75" s="134" t="s">
        <v>313</v>
      </c>
      <c r="B75" s="89"/>
      <c r="C75" s="116">
        <v>0</v>
      </c>
      <c r="D75" s="116">
        <v>0</v>
      </c>
      <c r="E75" s="116">
        <v>0</v>
      </c>
      <c r="F75" s="116">
        <v>0</v>
      </c>
      <c r="G75" s="116">
        <v>0</v>
      </c>
      <c r="H75" s="116">
        <v>0</v>
      </c>
      <c r="I75" s="116">
        <v>0</v>
      </c>
      <c r="J75" s="116">
        <v>0</v>
      </c>
      <c r="K75" s="116" t="s">
        <v>318</v>
      </c>
      <c r="L75" s="89"/>
      <c r="M75" s="94"/>
      <c r="N75" s="117"/>
      <c r="O75" s="118"/>
      <c r="P75" s="119">
        <v>0</v>
      </c>
      <c r="Q75" s="120">
        <v>0</v>
      </c>
      <c r="R75" s="120">
        <v>0</v>
      </c>
      <c r="S75" s="120">
        <v>0</v>
      </c>
      <c r="T75" s="120">
        <v>0</v>
      </c>
      <c r="U75" s="120">
        <v>0</v>
      </c>
      <c r="V75" s="120">
        <v>0</v>
      </c>
      <c r="W75" s="120">
        <v>0</v>
      </c>
      <c r="X75" s="119">
        <v>0</v>
      </c>
      <c r="Y75" s="121">
        <v>0</v>
      </c>
      <c r="Z75" s="122">
        <v>0</v>
      </c>
      <c r="AA75" s="119">
        <v>0</v>
      </c>
      <c r="AB75" s="134"/>
      <c r="AC75" s="134"/>
      <c r="AD75" s="137"/>
      <c r="AE75" s="137"/>
    </row>
    <row r="76" spans="1:32" s="114" customFormat="1" ht="18" customHeight="1" x14ac:dyDescent="0.25">
      <c r="A76" s="134" t="s">
        <v>313</v>
      </c>
      <c r="B76" s="89" t="s">
        <v>324</v>
      </c>
      <c r="C76" s="116">
        <v>0</v>
      </c>
      <c r="D76" s="116">
        <v>0</v>
      </c>
      <c r="E76" s="116">
        <v>0</v>
      </c>
      <c r="F76" s="116">
        <v>0</v>
      </c>
      <c r="G76" s="116">
        <v>0</v>
      </c>
      <c r="H76" s="116">
        <v>1</v>
      </c>
      <c r="I76" s="116">
        <v>0</v>
      </c>
      <c r="J76" s="116">
        <v>0</v>
      </c>
      <c r="K76" s="116" t="s">
        <v>36</v>
      </c>
      <c r="L76" s="89" t="s">
        <v>325</v>
      </c>
      <c r="M76" s="94" t="s">
        <v>326</v>
      </c>
      <c r="N76" s="117">
        <v>1</v>
      </c>
      <c r="O76" s="118">
        <v>1</v>
      </c>
      <c r="P76" s="119">
        <v>0</v>
      </c>
      <c r="Q76" s="120">
        <v>0</v>
      </c>
      <c r="R76" s="120">
        <v>0</v>
      </c>
      <c r="S76" s="120">
        <v>0</v>
      </c>
      <c r="T76" s="120">
        <v>0</v>
      </c>
      <c r="U76" s="120">
        <v>0</v>
      </c>
      <c r="V76" s="120">
        <v>0</v>
      </c>
      <c r="W76" s="120">
        <v>0</v>
      </c>
      <c r="X76" s="119">
        <v>0</v>
      </c>
      <c r="Y76" s="121">
        <v>0</v>
      </c>
      <c r="Z76" s="122">
        <v>0</v>
      </c>
      <c r="AA76" s="119">
        <v>0</v>
      </c>
      <c r="AB76" s="134" t="s">
        <v>313</v>
      </c>
      <c r="AC76" s="134" t="s">
        <v>313</v>
      </c>
      <c r="AD76" s="137" t="s">
        <v>72</v>
      </c>
      <c r="AE76" s="137" t="s">
        <v>40</v>
      </c>
    </row>
    <row r="77" spans="1:32" s="114" customFormat="1" ht="18" customHeight="1" x14ac:dyDescent="0.25">
      <c r="A77" s="134" t="s">
        <v>313</v>
      </c>
      <c r="B77" s="89" t="s">
        <v>327</v>
      </c>
      <c r="C77" s="116">
        <v>0</v>
      </c>
      <c r="D77" s="116">
        <v>0</v>
      </c>
      <c r="E77" s="116">
        <v>0</v>
      </c>
      <c r="F77" s="116">
        <v>1</v>
      </c>
      <c r="G77" s="116">
        <v>0</v>
      </c>
      <c r="H77" s="116">
        <v>0</v>
      </c>
      <c r="I77" s="116">
        <v>0</v>
      </c>
      <c r="J77" s="116">
        <v>0</v>
      </c>
      <c r="K77" s="116" t="s">
        <v>318</v>
      </c>
      <c r="L77" s="89" t="s">
        <v>319</v>
      </c>
      <c r="M77" s="94" t="s">
        <v>328</v>
      </c>
      <c r="N77" s="117">
        <v>1</v>
      </c>
      <c r="O77" s="118">
        <v>1</v>
      </c>
      <c r="P77" s="119">
        <v>0</v>
      </c>
      <c r="Q77" s="120">
        <v>0</v>
      </c>
      <c r="R77" s="120">
        <v>0</v>
      </c>
      <c r="S77" s="120">
        <v>0</v>
      </c>
      <c r="T77" s="120">
        <v>0</v>
      </c>
      <c r="U77" s="120">
        <v>0</v>
      </c>
      <c r="V77" s="120">
        <v>0</v>
      </c>
      <c r="W77" s="120">
        <v>0</v>
      </c>
      <c r="X77" s="119">
        <v>0</v>
      </c>
      <c r="Y77" s="121">
        <v>0</v>
      </c>
      <c r="Z77" s="122">
        <v>0</v>
      </c>
      <c r="AA77" s="119">
        <v>0</v>
      </c>
      <c r="AB77" s="134" t="s">
        <v>313</v>
      </c>
      <c r="AC77" s="134" t="s">
        <v>313</v>
      </c>
      <c r="AD77" s="137" t="s">
        <v>329</v>
      </c>
      <c r="AE77" s="137"/>
    </row>
    <row r="78" spans="1:32" s="114" customFormat="1" ht="18" customHeight="1" x14ac:dyDescent="0.25">
      <c r="A78" s="134" t="s">
        <v>313</v>
      </c>
      <c r="B78" s="89" t="s">
        <v>330</v>
      </c>
      <c r="C78" s="116">
        <v>0</v>
      </c>
      <c r="D78" s="116">
        <v>0</v>
      </c>
      <c r="E78" s="116">
        <v>0</v>
      </c>
      <c r="F78" s="116">
        <v>1</v>
      </c>
      <c r="G78" s="116">
        <v>0</v>
      </c>
      <c r="H78" s="116">
        <v>0</v>
      </c>
      <c r="I78" s="116">
        <v>0</v>
      </c>
      <c r="J78" s="116">
        <v>0</v>
      </c>
      <c r="K78" s="116" t="s">
        <v>331</v>
      </c>
      <c r="L78" s="89" t="s">
        <v>332</v>
      </c>
      <c r="M78" s="94" t="s">
        <v>333</v>
      </c>
      <c r="N78" s="117">
        <v>1</v>
      </c>
      <c r="O78" s="118">
        <v>1</v>
      </c>
      <c r="P78" s="119">
        <v>0</v>
      </c>
      <c r="Q78" s="120">
        <v>0</v>
      </c>
      <c r="R78" s="120">
        <v>0</v>
      </c>
      <c r="S78" s="120">
        <v>0</v>
      </c>
      <c r="T78" s="120">
        <v>0</v>
      </c>
      <c r="U78" s="120">
        <v>0</v>
      </c>
      <c r="V78" s="120">
        <v>0</v>
      </c>
      <c r="W78" s="120">
        <v>0</v>
      </c>
      <c r="X78" s="119">
        <v>0</v>
      </c>
      <c r="Y78" s="121">
        <v>0</v>
      </c>
      <c r="Z78" s="122">
        <v>0</v>
      </c>
      <c r="AA78" s="119">
        <v>0</v>
      </c>
      <c r="AB78" s="134" t="s">
        <v>313</v>
      </c>
      <c r="AC78" s="134" t="s">
        <v>313</v>
      </c>
      <c r="AD78" s="137" t="s">
        <v>72</v>
      </c>
      <c r="AE78" s="137" t="s">
        <v>40</v>
      </c>
      <c r="AF78" s="114" t="s">
        <v>334</v>
      </c>
    </row>
    <row r="79" spans="1:32" s="114" customFormat="1" ht="18" customHeight="1" x14ac:dyDescent="0.25">
      <c r="A79" s="134" t="s">
        <v>313</v>
      </c>
      <c r="B79" s="200">
        <v>52028</v>
      </c>
      <c r="C79" s="116">
        <v>0</v>
      </c>
      <c r="D79" s="116">
        <v>0</v>
      </c>
      <c r="E79" s="116">
        <v>0</v>
      </c>
      <c r="F79" s="116">
        <v>1</v>
      </c>
      <c r="G79" s="116">
        <v>0</v>
      </c>
      <c r="H79" s="116">
        <v>0</v>
      </c>
      <c r="I79" s="116">
        <v>0</v>
      </c>
      <c r="J79" s="116">
        <v>0</v>
      </c>
      <c r="K79" s="116" t="s">
        <v>318</v>
      </c>
      <c r="L79" s="200">
        <v>84538</v>
      </c>
      <c r="M79" s="200">
        <v>3759301001</v>
      </c>
      <c r="N79" s="117">
        <v>1</v>
      </c>
      <c r="O79" s="118">
        <v>1</v>
      </c>
      <c r="P79" s="119">
        <v>0</v>
      </c>
      <c r="Q79" s="120">
        <v>0</v>
      </c>
      <c r="R79" s="120">
        <v>0</v>
      </c>
      <c r="S79" s="120">
        <v>0</v>
      </c>
      <c r="T79" s="120">
        <v>0</v>
      </c>
      <c r="U79" s="120">
        <v>0</v>
      </c>
      <c r="V79" s="120">
        <v>0</v>
      </c>
      <c r="W79" s="120">
        <v>0</v>
      </c>
      <c r="X79" s="119">
        <v>0</v>
      </c>
      <c r="Y79" s="121">
        <v>0</v>
      </c>
      <c r="Z79" s="122">
        <v>0</v>
      </c>
      <c r="AA79" s="119">
        <v>0</v>
      </c>
      <c r="AB79" s="134" t="s">
        <v>313</v>
      </c>
      <c r="AC79" s="134" t="s">
        <v>313</v>
      </c>
      <c r="AD79" s="137" t="s">
        <v>58</v>
      </c>
      <c r="AE79" s="137" t="s">
        <v>40</v>
      </c>
      <c r="AF79" s="114" t="s">
        <v>335</v>
      </c>
    </row>
    <row r="80" spans="1:32" s="114" customFormat="1" ht="15" customHeight="1" x14ac:dyDescent="0.25">
      <c r="A80" s="134" t="s">
        <v>313</v>
      </c>
      <c r="B80" s="200">
        <v>52032</v>
      </c>
      <c r="C80" s="116">
        <v>0</v>
      </c>
      <c r="D80" s="116">
        <v>0</v>
      </c>
      <c r="E80" s="116">
        <v>0</v>
      </c>
      <c r="F80" s="116">
        <v>2</v>
      </c>
      <c r="G80" s="116">
        <v>0</v>
      </c>
      <c r="H80" s="116">
        <v>0</v>
      </c>
      <c r="I80" s="116">
        <v>0</v>
      </c>
      <c r="J80" s="116">
        <v>0</v>
      </c>
      <c r="K80" s="116" t="s">
        <v>318</v>
      </c>
      <c r="L80" s="200">
        <v>84538</v>
      </c>
      <c r="M80" s="200">
        <v>3759301005</v>
      </c>
      <c r="N80" s="117">
        <v>2</v>
      </c>
      <c r="O80" s="118">
        <v>2</v>
      </c>
      <c r="P80" s="119">
        <v>0</v>
      </c>
      <c r="Q80" s="120">
        <v>0</v>
      </c>
      <c r="R80" s="120">
        <v>0</v>
      </c>
      <c r="S80" s="120">
        <v>0</v>
      </c>
      <c r="T80" s="120">
        <v>0</v>
      </c>
      <c r="U80" s="120">
        <v>0</v>
      </c>
      <c r="V80" s="120">
        <v>0</v>
      </c>
      <c r="W80" s="120">
        <v>0</v>
      </c>
      <c r="X80" s="119">
        <v>0</v>
      </c>
      <c r="Y80" s="121">
        <v>0</v>
      </c>
      <c r="Z80" s="122">
        <v>0</v>
      </c>
      <c r="AA80" s="119">
        <v>0</v>
      </c>
      <c r="AB80" s="134" t="s">
        <v>313</v>
      </c>
      <c r="AC80" s="134" t="s">
        <v>313</v>
      </c>
      <c r="AD80" s="137" t="s">
        <v>58</v>
      </c>
      <c r="AE80" s="137" t="s">
        <v>40</v>
      </c>
      <c r="AF80" s="114" t="s">
        <v>335</v>
      </c>
    </row>
    <row r="81" spans="1:32" s="114" customFormat="1" x14ac:dyDescent="0.25">
      <c r="A81" s="89" t="s">
        <v>313</v>
      </c>
      <c r="B81" s="92" t="s">
        <v>336</v>
      </c>
      <c r="C81" s="116">
        <v>0</v>
      </c>
      <c r="D81" s="116">
        <v>0</v>
      </c>
      <c r="E81" s="116">
        <v>0</v>
      </c>
      <c r="F81" s="116">
        <v>0</v>
      </c>
      <c r="G81" s="116">
        <v>2</v>
      </c>
      <c r="H81" s="116">
        <v>0</v>
      </c>
      <c r="I81" s="116">
        <v>0</v>
      </c>
      <c r="J81" s="116">
        <v>0</v>
      </c>
      <c r="K81" s="116" t="s">
        <v>75</v>
      </c>
      <c r="L81" s="89" t="s">
        <v>337</v>
      </c>
      <c r="M81" s="94" t="s">
        <v>338</v>
      </c>
      <c r="N81" s="117">
        <v>2</v>
      </c>
      <c r="O81" s="118">
        <v>2</v>
      </c>
      <c r="P81" s="119">
        <v>0</v>
      </c>
      <c r="Q81" s="120">
        <v>0</v>
      </c>
      <c r="R81" s="120">
        <v>0</v>
      </c>
      <c r="S81" s="120">
        <v>0</v>
      </c>
      <c r="T81" s="120">
        <v>0</v>
      </c>
      <c r="U81" s="120">
        <v>0</v>
      </c>
      <c r="V81" s="120">
        <v>0</v>
      </c>
      <c r="W81" s="120">
        <v>0</v>
      </c>
      <c r="X81" s="119">
        <v>0</v>
      </c>
      <c r="Y81" s="121">
        <v>0</v>
      </c>
      <c r="Z81" s="122">
        <v>0</v>
      </c>
      <c r="AA81" s="119">
        <v>0</v>
      </c>
      <c r="AB81" s="134" t="s">
        <v>313</v>
      </c>
      <c r="AC81" s="134" t="s">
        <v>313</v>
      </c>
      <c r="AD81" s="137" t="s">
        <v>72</v>
      </c>
      <c r="AE81" s="137" t="s">
        <v>40</v>
      </c>
      <c r="AF81" s="114" t="s">
        <v>339</v>
      </c>
    </row>
    <row r="82" spans="1:32" s="114" customFormat="1" x14ac:dyDescent="0.25">
      <c r="A82" s="89"/>
      <c r="B82" s="92"/>
      <c r="C82" s="116">
        <v>0</v>
      </c>
      <c r="D82" s="116">
        <v>0</v>
      </c>
      <c r="E82" s="116">
        <v>0</v>
      </c>
      <c r="F82" s="116">
        <v>4</v>
      </c>
      <c r="G82" s="116">
        <v>0</v>
      </c>
      <c r="H82" s="116">
        <v>0</v>
      </c>
      <c r="I82" s="116">
        <v>0</v>
      </c>
      <c r="J82" s="116">
        <v>0</v>
      </c>
      <c r="K82" s="116" t="s">
        <v>75</v>
      </c>
      <c r="L82" s="89"/>
      <c r="M82" s="94"/>
      <c r="N82" s="117">
        <v>4</v>
      </c>
      <c r="O82" s="118">
        <v>4</v>
      </c>
      <c r="P82" s="119">
        <v>0</v>
      </c>
      <c r="Q82" s="120">
        <v>0</v>
      </c>
      <c r="R82" s="120">
        <v>0</v>
      </c>
      <c r="S82" s="120">
        <v>0</v>
      </c>
      <c r="T82" s="120">
        <v>0</v>
      </c>
      <c r="U82" s="120">
        <v>0</v>
      </c>
      <c r="V82" s="120">
        <v>0</v>
      </c>
      <c r="W82" s="120">
        <v>0</v>
      </c>
      <c r="X82" s="119">
        <v>0</v>
      </c>
      <c r="Y82" s="121">
        <v>0</v>
      </c>
      <c r="Z82" s="122">
        <v>0</v>
      </c>
      <c r="AA82" s="119">
        <v>0</v>
      </c>
      <c r="AB82" s="134"/>
      <c r="AC82" s="134"/>
      <c r="AD82" s="137" t="s">
        <v>58</v>
      </c>
      <c r="AE82" s="137" t="s">
        <v>40</v>
      </c>
      <c r="AF82" s="114" t="s">
        <v>340</v>
      </c>
    </row>
    <row r="83" spans="1:32" s="114" customFormat="1" x14ac:dyDescent="0.25">
      <c r="A83" s="89"/>
      <c r="B83" s="92"/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2</v>
      </c>
      <c r="J83" s="116">
        <v>0</v>
      </c>
      <c r="K83" s="116" t="s">
        <v>75</v>
      </c>
      <c r="L83" s="89"/>
      <c r="M83" s="94"/>
      <c r="N83" s="117">
        <v>2</v>
      </c>
      <c r="O83" s="118">
        <v>2</v>
      </c>
      <c r="P83" s="119">
        <v>0</v>
      </c>
      <c r="Q83" s="120">
        <v>0</v>
      </c>
      <c r="R83" s="120">
        <v>0</v>
      </c>
      <c r="S83" s="120">
        <v>0</v>
      </c>
      <c r="T83" s="120">
        <v>0</v>
      </c>
      <c r="U83" s="120">
        <v>0</v>
      </c>
      <c r="V83" s="120">
        <v>0</v>
      </c>
      <c r="W83" s="120">
        <v>0</v>
      </c>
      <c r="X83" s="119">
        <v>0</v>
      </c>
      <c r="Y83" s="121">
        <v>0</v>
      </c>
      <c r="Z83" s="122">
        <v>0</v>
      </c>
      <c r="AA83" s="119">
        <v>0</v>
      </c>
      <c r="AB83" s="134"/>
      <c r="AC83" s="134"/>
      <c r="AD83" s="137" t="s">
        <v>72</v>
      </c>
      <c r="AE83" s="137" t="s">
        <v>40</v>
      </c>
      <c r="AF83" s="114" t="s">
        <v>341</v>
      </c>
    </row>
    <row r="84" spans="1:32" s="114" customFormat="1" x14ac:dyDescent="0.25">
      <c r="A84" s="89" t="s">
        <v>342</v>
      </c>
      <c r="B84" s="92" t="s">
        <v>343</v>
      </c>
      <c r="C84" s="116">
        <v>1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 t="s">
        <v>344</v>
      </c>
      <c r="L84" s="89" t="s">
        <v>345</v>
      </c>
      <c r="M84" s="94" t="s">
        <v>346</v>
      </c>
      <c r="N84" s="117">
        <v>1</v>
      </c>
      <c r="O84" s="118">
        <v>1</v>
      </c>
      <c r="P84" s="119">
        <v>0</v>
      </c>
      <c r="Q84" s="120">
        <v>0</v>
      </c>
      <c r="R84" s="120">
        <v>0</v>
      </c>
      <c r="S84" s="120">
        <v>0</v>
      </c>
      <c r="T84" s="120">
        <v>0</v>
      </c>
      <c r="U84" s="120">
        <v>0</v>
      </c>
      <c r="V84" s="120">
        <v>0</v>
      </c>
      <c r="W84" s="120">
        <v>0</v>
      </c>
      <c r="X84" s="119">
        <v>0</v>
      </c>
      <c r="Y84" s="121">
        <v>0</v>
      </c>
      <c r="Z84" s="122">
        <v>0</v>
      </c>
      <c r="AA84" s="119">
        <v>0</v>
      </c>
      <c r="AB84" s="134" t="s">
        <v>342</v>
      </c>
      <c r="AC84" s="134" t="s">
        <v>342</v>
      </c>
      <c r="AD84" s="137" t="s">
        <v>72</v>
      </c>
      <c r="AE84" s="137" t="s">
        <v>40</v>
      </c>
    </row>
    <row r="85" spans="1:32" s="114" customFormat="1" x14ac:dyDescent="0.25">
      <c r="A85" s="89" t="s">
        <v>342</v>
      </c>
      <c r="B85" s="92" t="s">
        <v>347</v>
      </c>
      <c r="C85" s="116">
        <v>0</v>
      </c>
      <c r="D85" s="116">
        <v>0</v>
      </c>
      <c r="E85" s="116">
        <v>0</v>
      </c>
      <c r="F85" s="116">
        <v>1</v>
      </c>
      <c r="G85" s="116">
        <v>0</v>
      </c>
      <c r="H85" s="116">
        <v>0</v>
      </c>
      <c r="I85" s="116">
        <v>0</v>
      </c>
      <c r="J85" s="116">
        <v>0</v>
      </c>
      <c r="K85" s="116" t="s">
        <v>348</v>
      </c>
      <c r="L85" s="89" t="s">
        <v>349</v>
      </c>
      <c r="M85" s="94" t="s">
        <v>350</v>
      </c>
      <c r="N85" s="117">
        <v>1</v>
      </c>
      <c r="O85" s="118">
        <v>1</v>
      </c>
      <c r="P85" s="119">
        <v>0</v>
      </c>
      <c r="Q85" s="120">
        <v>0</v>
      </c>
      <c r="R85" s="120">
        <v>0</v>
      </c>
      <c r="S85" s="120">
        <v>0</v>
      </c>
      <c r="T85" s="120">
        <v>0</v>
      </c>
      <c r="U85" s="120">
        <v>0</v>
      </c>
      <c r="V85" s="120">
        <v>0</v>
      </c>
      <c r="W85" s="120">
        <v>0</v>
      </c>
      <c r="X85" s="119">
        <v>0</v>
      </c>
      <c r="Y85" s="121">
        <v>0</v>
      </c>
      <c r="Z85" s="122">
        <v>0</v>
      </c>
      <c r="AA85" s="119">
        <v>0</v>
      </c>
      <c r="AB85" s="134" t="s">
        <v>342</v>
      </c>
      <c r="AC85" s="134" t="s">
        <v>342</v>
      </c>
      <c r="AD85" s="137" t="s">
        <v>72</v>
      </c>
      <c r="AE85" s="137" t="s">
        <v>40</v>
      </c>
      <c r="AF85" s="114" t="s">
        <v>91</v>
      </c>
    </row>
    <row r="86" spans="1:32" s="114" customFormat="1" x14ac:dyDescent="0.25">
      <c r="A86" s="89" t="s">
        <v>342</v>
      </c>
      <c r="B86" s="92" t="s">
        <v>351</v>
      </c>
      <c r="C86" s="116">
        <v>0</v>
      </c>
      <c r="D86" s="116">
        <v>0</v>
      </c>
      <c r="E86" s="116">
        <v>0</v>
      </c>
      <c r="F86" s="116">
        <v>1</v>
      </c>
      <c r="G86" s="116">
        <v>0</v>
      </c>
      <c r="H86" s="116">
        <v>0</v>
      </c>
      <c r="I86" s="116">
        <v>0</v>
      </c>
      <c r="J86" s="116">
        <v>0</v>
      </c>
      <c r="K86" s="116" t="s">
        <v>348</v>
      </c>
      <c r="L86" s="89" t="s">
        <v>349</v>
      </c>
      <c r="M86" s="94" t="s">
        <v>352</v>
      </c>
      <c r="N86" s="117">
        <v>1</v>
      </c>
      <c r="O86" s="118">
        <v>1</v>
      </c>
      <c r="P86" s="119">
        <v>0</v>
      </c>
      <c r="Q86" s="120">
        <v>0</v>
      </c>
      <c r="R86" s="120">
        <v>0</v>
      </c>
      <c r="S86" s="120">
        <v>0</v>
      </c>
      <c r="T86" s="120">
        <v>0</v>
      </c>
      <c r="U86" s="120">
        <v>0</v>
      </c>
      <c r="V86" s="120">
        <v>0</v>
      </c>
      <c r="W86" s="120">
        <v>0</v>
      </c>
      <c r="X86" s="119">
        <v>0</v>
      </c>
      <c r="Y86" s="121">
        <v>0</v>
      </c>
      <c r="Z86" s="122">
        <v>0</v>
      </c>
      <c r="AA86" s="119">
        <v>0</v>
      </c>
      <c r="AB86" s="134" t="s">
        <v>342</v>
      </c>
      <c r="AC86" s="134" t="s">
        <v>342</v>
      </c>
      <c r="AD86" s="137" t="s">
        <v>329</v>
      </c>
      <c r="AE86" s="137" t="s">
        <v>40</v>
      </c>
      <c r="AF86" s="114" t="s">
        <v>353</v>
      </c>
    </row>
    <row r="87" spans="1:32" s="114" customFormat="1" x14ac:dyDescent="0.25">
      <c r="A87" s="89" t="s">
        <v>342</v>
      </c>
      <c r="B87" s="92" t="s">
        <v>354</v>
      </c>
      <c r="C87" s="116">
        <v>0</v>
      </c>
      <c r="D87" s="116">
        <v>0</v>
      </c>
      <c r="E87" s="116">
        <v>0</v>
      </c>
      <c r="F87" s="116">
        <v>2</v>
      </c>
      <c r="G87" s="116">
        <v>0</v>
      </c>
      <c r="H87" s="116">
        <v>0</v>
      </c>
      <c r="I87" s="116">
        <v>0</v>
      </c>
      <c r="J87" s="116">
        <v>0</v>
      </c>
      <c r="K87" s="116" t="s">
        <v>348</v>
      </c>
      <c r="L87" s="89" t="s">
        <v>349</v>
      </c>
      <c r="M87" s="94" t="s">
        <v>355</v>
      </c>
      <c r="N87" s="117">
        <v>2</v>
      </c>
      <c r="O87" s="118">
        <v>2</v>
      </c>
      <c r="P87" s="119">
        <v>0</v>
      </c>
      <c r="Q87" s="120">
        <v>0</v>
      </c>
      <c r="R87" s="120">
        <v>0</v>
      </c>
      <c r="S87" s="120">
        <v>0</v>
      </c>
      <c r="T87" s="120">
        <v>0</v>
      </c>
      <c r="U87" s="120">
        <v>0</v>
      </c>
      <c r="V87" s="120">
        <v>0</v>
      </c>
      <c r="W87" s="120">
        <v>0</v>
      </c>
      <c r="X87" s="119">
        <v>0</v>
      </c>
      <c r="Y87" s="121">
        <v>0</v>
      </c>
      <c r="Z87" s="122">
        <v>0</v>
      </c>
      <c r="AA87" s="119">
        <v>0</v>
      </c>
      <c r="AB87" s="134" t="s">
        <v>342</v>
      </c>
      <c r="AC87" s="134" t="s">
        <v>342</v>
      </c>
      <c r="AD87" s="137" t="s">
        <v>329</v>
      </c>
      <c r="AE87" s="137" t="s">
        <v>40</v>
      </c>
      <c r="AF87" s="114" t="s">
        <v>353</v>
      </c>
    </row>
    <row r="88" spans="1:32" s="114" customFormat="1" x14ac:dyDescent="0.25">
      <c r="A88" s="89" t="s">
        <v>342</v>
      </c>
      <c r="B88" s="92" t="s">
        <v>356</v>
      </c>
      <c r="C88" s="116">
        <v>0</v>
      </c>
      <c r="D88" s="116">
        <v>0</v>
      </c>
      <c r="E88" s="116">
        <v>0</v>
      </c>
      <c r="F88" s="116">
        <v>1</v>
      </c>
      <c r="G88" s="116">
        <v>0</v>
      </c>
      <c r="H88" s="116">
        <v>0</v>
      </c>
      <c r="I88" s="116">
        <v>0</v>
      </c>
      <c r="J88" s="116">
        <v>0</v>
      </c>
      <c r="K88" s="116" t="s">
        <v>348</v>
      </c>
      <c r="L88" s="89" t="s">
        <v>349</v>
      </c>
      <c r="M88" s="94" t="s">
        <v>357</v>
      </c>
      <c r="N88" s="117">
        <v>1</v>
      </c>
      <c r="O88" s="118">
        <v>1</v>
      </c>
      <c r="P88" s="119">
        <v>0</v>
      </c>
      <c r="Q88" s="120">
        <v>0</v>
      </c>
      <c r="R88" s="120">
        <v>0</v>
      </c>
      <c r="S88" s="120">
        <v>0</v>
      </c>
      <c r="T88" s="120">
        <v>0</v>
      </c>
      <c r="U88" s="120">
        <v>0</v>
      </c>
      <c r="V88" s="120">
        <v>0</v>
      </c>
      <c r="W88" s="120">
        <v>0</v>
      </c>
      <c r="X88" s="119">
        <v>0</v>
      </c>
      <c r="Y88" s="121">
        <v>0</v>
      </c>
      <c r="Z88" s="122">
        <v>0</v>
      </c>
      <c r="AA88" s="119">
        <v>0</v>
      </c>
      <c r="AB88" s="134" t="s">
        <v>342</v>
      </c>
      <c r="AC88" s="134" t="s">
        <v>342</v>
      </c>
      <c r="AD88" s="137" t="s">
        <v>329</v>
      </c>
      <c r="AE88" s="137" t="s">
        <v>40</v>
      </c>
      <c r="AF88" s="114" t="s">
        <v>353</v>
      </c>
    </row>
    <row r="89" spans="1:32" s="114" customFormat="1" x14ac:dyDescent="0.25">
      <c r="A89" s="89" t="s">
        <v>342</v>
      </c>
      <c r="B89" s="92" t="s">
        <v>356</v>
      </c>
      <c r="C89" s="116">
        <v>0</v>
      </c>
      <c r="D89" s="116">
        <v>0</v>
      </c>
      <c r="E89" s="116">
        <v>0</v>
      </c>
      <c r="F89" s="116">
        <v>1</v>
      </c>
      <c r="G89" s="116">
        <v>0</v>
      </c>
      <c r="H89" s="116">
        <v>0</v>
      </c>
      <c r="I89" s="116">
        <v>0</v>
      </c>
      <c r="J89" s="116">
        <v>0</v>
      </c>
      <c r="K89" s="116" t="s">
        <v>348</v>
      </c>
      <c r="L89" s="89" t="s">
        <v>349</v>
      </c>
      <c r="M89" s="94" t="s">
        <v>357</v>
      </c>
      <c r="N89" s="117">
        <v>1</v>
      </c>
      <c r="O89" s="118">
        <v>1</v>
      </c>
      <c r="P89" s="119">
        <v>0</v>
      </c>
      <c r="Q89" s="120">
        <v>0</v>
      </c>
      <c r="R89" s="120">
        <v>0</v>
      </c>
      <c r="S89" s="120">
        <v>0</v>
      </c>
      <c r="T89" s="120">
        <v>0</v>
      </c>
      <c r="U89" s="120">
        <v>0</v>
      </c>
      <c r="V89" s="120">
        <v>0</v>
      </c>
      <c r="W89" s="120">
        <v>0</v>
      </c>
      <c r="X89" s="119">
        <v>0</v>
      </c>
      <c r="Y89" s="121">
        <v>0</v>
      </c>
      <c r="Z89" s="122">
        <v>0</v>
      </c>
      <c r="AA89" s="119">
        <v>0</v>
      </c>
      <c r="AB89" s="134" t="s">
        <v>342</v>
      </c>
      <c r="AC89" s="134" t="s">
        <v>342</v>
      </c>
      <c r="AD89" s="137" t="s">
        <v>329</v>
      </c>
      <c r="AE89" s="137" t="s">
        <v>40</v>
      </c>
      <c r="AF89" s="114" t="s">
        <v>353</v>
      </c>
    </row>
    <row r="90" spans="1:32" s="114" customFormat="1" x14ac:dyDescent="0.25">
      <c r="A90" s="89" t="s">
        <v>342</v>
      </c>
      <c r="B90" s="92" t="s">
        <v>358</v>
      </c>
      <c r="C90" s="116">
        <v>0</v>
      </c>
      <c r="D90" s="116">
        <v>0</v>
      </c>
      <c r="E90" s="116">
        <v>0</v>
      </c>
      <c r="F90" s="116">
        <v>1</v>
      </c>
      <c r="G90" s="116">
        <v>0</v>
      </c>
      <c r="H90" s="116">
        <v>0</v>
      </c>
      <c r="I90" s="116">
        <v>0</v>
      </c>
      <c r="J90" s="116">
        <v>0</v>
      </c>
      <c r="K90" s="116" t="s">
        <v>64</v>
      </c>
      <c r="L90" s="89" t="s">
        <v>359</v>
      </c>
      <c r="M90" s="94" t="s">
        <v>360</v>
      </c>
      <c r="N90" s="117">
        <v>1</v>
      </c>
      <c r="O90" s="118">
        <v>1</v>
      </c>
      <c r="P90" s="119">
        <v>0</v>
      </c>
      <c r="Q90" s="120">
        <v>0</v>
      </c>
      <c r="R90" s="120">
        <v>0</v>
      </c>
      <c r="S90" s="120">
        <v>0</v>
      </c>
      <c r="T90" s="120">
        <v>0</v>
      </c>
      <c r="U90" s="120">
        <v>0</v>
      </c>
      <c r="V90" s="120">
        <v>0</v>
      </c>
      <c r="W90" s="120">
        <v>0</v>
      </c>
      <c r="X90" s="119">
        <v>0</v>
      </c>
      <c r="Y90" s="121">
        <v>0</v>
      </c>
      <c r="Z90" s="122">
        <v>0</v>
      </c>
      <c r="AA90" s="119">
        <v>0</v>
      </c>
      <c r="AB90" s="134" t="s">
        <v>342</v>
      </c>
      <c r="AC90" s="134" t="s">
        <v>342</v>
      </c>
      <c r="AD90" s="137" t="s">
        <v>58</v>
      </c>
      <c r="AE90" s="137" t="s">
        <v>40</v>
      </c>
      <c r="AF90" s="114" t="s">
        <v>361</v>
      </c>
    </row>
    <row r="91" spans="1:32" s="114" customFormat="1" x14ac:dyDescent="0.25">
      <c r="A91" s="89" t="s">
        <v>342</v>
      </c>
      <c r="B91" s="92" t="s">
        <v>362</v>
      </c>
      <c r="C91" s="116">
        <v>0</v>
      </c>
      <c r="D91" s="116">
        <v>0</v>
      </c>
      <c r="E91" s="116">
        <v>0</v>
      </c>
      <c r="F91" s="116">
        <v>1</v>
      </c>
      <c r="G91" s="116">
        <v>0</v>
      </c>
      <c r="H91" s="116">
        <v>0</v>
      </c>
      <c r="I91" s="116">
        <v>0</v>
      </c>
      <c r="J91" s="116">
        <v>0</v>
      </c>
      <c r="K91" s="116" t="s">
        <v>64</v>
      </c>
      <c r="L91" s="92" t="s">
        <v>359</v>
      </c>
      <c r="M91" s="94" t="s">
        <v>363</v>
      </c>
      <c r="N91" s="117">
        <v>1</v>
      </c>
      <c r="O91" s="118">
        <v>1</v>
      </c>
      <c r="P91" s="119">
        <v>0</v>
      </c>
      <c r="Q91" s="120">
        <v>0</v>
      </c>
      <c r="R91" s="120">
        <v>0</v>
      </c>
      <c r="S91" s="120">
        <v>0</v>
      </c>
      <c r="T91" s="120">
        <v>0</v>
      </c>
      <c r="U91" s="120">
        <v>0</v>
      </c>
      <c r="V91" s="120">
        <v>0</v>
      </c>
      <c r="W91" s="120">
        <v>0</v>
      </c>
      <c r="X91" s="119">
        <v>0</v>
      </c>
      <c r="Y91" s="121">
        <v>0</v>
      </c>
      <c r="Z91" s="122">
        <v>0</v>
      </c>
      <c r="AA91" s="119">
        <v>0</v>
      </c>
      <c r="AB91" s="134" t="s">
        <v>342</v>
      </c>
      <c r="AC91" s="134" t="s">
        <v>342</v>
      </c>
      <c r="AD91" s="137" t="s">
        <v>58</v>
      </c>
      <c r="AE91" s="137" t="s">
        <v>40</v>
      </c>
      <c r="AF91" s="114" t="s">
        <v>364</v>
      </c>
    </row>
    <row r="92" spans="1:32" s="114" customFormat="1" x14ac:dyDescent="0.25">
      <c r="A92" s="89" t="s">
        <v>365</v>
      </c>
      <c r="B92" s="92" t="s">
        <v>366</v>
      </c>
      <c r="C92" s="116">
        <v>0</v>
      </c>
      <c r="D92" s="116">
        <v>0</v>
      </c>
      <c r="E92" s="116">
        <v>0</v>
      </c>
      <c r="F92" s="116">
        <v>1</v>
      </c>
      <c r="G92" s="116">
        <v>0</v>
      </c>
      <c r="H92" s="116">
        <v>0</v>
      </c>
      <c r="I92" s="116">
        <v>0</v>
      </c>
      <c r="J92" s="116">
        <v>0</v>
      </c>
      <c r="K92" s="116" t="s">
        <v>367</v>
      </c>
      <c r="L92" s="89" t="s">
        <v>368</v>
      </c>
      <c r="M92" s="94" t="s">
        <v>369</v>
      </c>
      <c r="N92" s="117">
        <v>1</v>
      </c>
      <c r="O92" s="118">
        <v>1</v>
      </c>
      <c r="P92" s="119">
        <v>0</v>
      </c>
      <c r="Q92" s="120">
        <v>0</v>
      </c>
      <c r="R92" s="120">
        <v>0</v>
      </c>
      <c r="S92" s="120">
        <v>0</v>
      </c>
      <c r="T92" s="120">
        <v>0</v>
      </c>
      <c r="U92" s="120">
        <v>0</v>
      </c>
      <c r="V92" s="120">
        <v>0</v>
      </c>
      <c r="W92" s="120">
        <v>0</v>
      </c>
      <c r="X92" s="119">
        <v>0</v>
      </c>
      <c r="Y92" s="121">
        <v>0</v>
      </c>
      <c r="Z92" s="122">
        <v>0</v>
      </c>
      <c r="AA92" s="119">
        <v>0</v>
      </c>
      <c r="AB92" s="134" t="s">
        <v>365</v>
      </c>
      <c r="AC92" s="134" t="s">
        <v>365</v>
      </c>
      <c r="AD92" s="137" t="s">
        <v>58</v>
      </c>
      <c r="AE92" s="137" t="s">
        <v>40</v>
      </c>
      <c r="AF92" s="114" t="s">
        <v>370</v>
      </c>
    </row>
    <row r="93" spans="1:32" s="114" customFormat="1" x14ac:dyDescent="0.25">
      <c r="A93" s="89" t="s">
        <v>365</v>
      </c>
      <c r="B93" s="92" t="s">
        <v>366</v>
      </c>
      <c r="C93" s="116">
        <v>0</v>
      </c>
      <c r="D93" s="116">
        <v>0</v>
      </c>
      <c r="E93" s="116">
        <v>0</v>
      </c>
      <c r="F93" s="116">
        <v>1</v>
      </c>
      <c r="G93" s="116">
        <v>0</v>
      </c>
      <c r="H93" s="116">
        <v>0</v>
      </c>
      <c r="I93" s="116">
        <v>0</v>
      </c>
      <c r="J93" s="116">
        <v>0</v>
      </c>
      <c r="K93" s="116" t="s">
        <v>367</v>
      </c>
      <c r="L93" s="92" t="s">
        <v>368</v>
      </c>
      <c r="M93" s="94" t="s">
        <v>371</v>
      </c>
      <c r="N93" s="117">
        <v>2</v>
      </c>
      <c r="O93" s="118">
        <v>2</v>
      </c>
      <c r="P93" s="119">
        <v>0</v>
      </c>
      <c r="Q93" s="120">
        <v>0</v>
      </c>
      <c r="R93" s="120">
        <v>0</v>
      </c>
      <c r="S93" s="120">
        <v>0</v>
      </c>
      <c r="T93" s="120">
        <v>0</v>
      </c>
      <c r="U93" s="120">
        <v>0</v>
      </c>
      <c r="V93" s="120">
        <v>0</v>
      </c>
      <c r="W93" s="120">
        <v>0</v>
      </c>
      <c r="X93" s="119">
        <v>0</v>
      </c>
      <c r="Y93" s="121">
        <v>0</v>
      </c>
      <c r="Z93" s="122">
        <v>0</v>
      </c>
      <c r="AA93" s="119">
        <v>0</v>
      </c>
      <c r="AB93" s="134" t="s">
        <v>365</v>
      </c>
      <c r="AC93" s="134" t="s">
        <v>365</v>
      </c>
      <c r="AD93" s="137" t="s">
        <v>58</v>
      </c>
      <c r="AE93" s="137" t="s">
        <v>40</v>
      </c>
      <c r="AF93" s="114" t="s">
        <v>370</v>
      </c>
    </row>
    <row r="94" spans="1:32" s="114" customFormat="1" x14ac:dyDescent="0.25">
      <c r="A94" s="89" t="s">
        <v>365</v>
      </c>
      <c r="B94" s="92" t="s">
        <v>201</v>
      </c>
      <c r="C94" s="116">
        <v>0</v>
      </c>
      <c r="D94" s="116">
        <v>0</v>
      </c>
      <c r="E94" s="116">
        <v>0</v>
      </c>
      <c r="F94" s="116">
        <v>1</v>
      </c>
      <c r="G94" s="116">
        <v>0</v>
      </c>
      <c r="H94" s="116">
        <v>0</v>
      </c>
      <c r="I94" s="116">
        <v>0</v>
      </c>
      <c r="J94" s="116">
        <v>0</v>
      </c>
      <c r="K94" s="116" t="s">
        <v>79</v>
      </c>
      <c r="L94" s="89" t="s">
        <v>372</v>
      </c>
      <c r="M94" s="94" t="s">
        <v>373</v>
      </c>
      <c r="N94" s="117">
        <v>1</v>
      </c>
      <c r="O94" s="118">
        <v>1</v>
      </c>
      <c r="P94" s="119">
        <v>0</v>
      </c>
      <c r="Q94" s="120">
        <v>0</v>
      </c>
      <c r="R94" s="120">
        <v>0</v>
      </c>
      <c r="S94" s="120">
        <v>0</v>
      </c>
      <c r="T94" s="120">
        <v>0</v>
      </c>
      <c r="U94" s="120">
        <v>0</v>
      </c>
      <c r="V94" s="120">
        <v>0</v>
      </c>
      <c r="W94" s="120">
        <v>0</v>
      </c>
      <c r="X94" s="119">
        <v>0</v>
      </c>
      <c r="Y94" s="121">
        <v>0</v>
      </c>
      <c r="Z94" s="122">
        <v>0</v>
      </c>
      <c r="AA94" s="119">
        <v>0</v>
      </c>
      <c r="AB94" s="134" t="s">
        <v>365</v>
      </c>
      <c r="AC94" s="134" t="s">
        <v>365</v>
      </c>
      <c r="AD94" s="137" t="s">
        <v>58</v>
      </c>
      <c r="AE94" s="137" t="s">
        <v>40</v>
      </c>
      <c r="AF94" s="114" t="s">
        <v>374</v>
      </c>
    </row>
    <row r="95" spans="1:32" s="114" customFormat="1" x14ac:dyDescent="0.25">
      <c r="A95" s="89" t="s">
        <v>365</v>
      </c>
      <c r="B95" s="92" t="s">
        <v>375</v>
      </c>
      <c r="C95" s="116">
        <v>1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 t="s">
        <v>376</v>
      </c>
      <c r="L95" s="89" t="s">
        <v>377</v>
      </c>
      <c r="M95" s="94" t="s">
        <v>378</v>
      </c>
      <c r="N95" s="117">
        <v>1</v>
      </c>
      <c r="O95" s="118">
        <v>1</v>
      </c>
      <c r="P95" s="119">
        <v>0</v>
      </c>
      <c r="Q95" s="120">
        <v>0</v>
      </c>
      <c r="R95" s="120">
        <v>0</v>
      </c>
      <c r="S95" s="120">
        <v>0</v>
      </c>
      <c r="T95" s="120">
        <v>0</v>
      </c>
      <c r="U95" s="120">
        <v>0</v>
      </c>
      <c r="V95" s="120">
        <v>0</v>
      </c>
      <c r="W95" s="120">
        <v>0</v>
      </c>
      <c r="X95" s="119">
        <v>0</v>
      </c>
      <c r="Y95" s="121">
        <v>0</v>
      </c>
      <c r="Z95" s="122">
        <v>0</v>
      </c>
      <c r="AA95" s="119">
        <v>0</v>
      </c>
      <c r="AB95" s="134" t="s">
        <v>365</v>
      </c>
      <c r="AC95" s="134" t="s">
        <v>365</v>
      </c>
      <c r="AD95" s="137" t="s">
        <v>58</v>
      </c>
      <c r="AE95" s="137" t="s">
        <v>40</v>
      </c>
      <c r="AF95" s="114" t="s">
        <v>370</v>
      </c>
    </row>
    <row r="96" spans="1:32" s="114" customFormat="1" x14ac:dyDescent="0.25">
      <c r="A96" s="89" t="s">
        <v>365</v>
      </c>
      <c r="B96" s="92" t="s">
        <v>379</v>
      </c>
      <c r="C96" s="116">
        <v>0</v>
      </c>
      <c r="D96" s="116">
        <v>0</v>
      </c>
      <c r="E96" s="116">
        <v>0</v>
      </c>
      <c r="F96" s="116">
        <v>1</v>
      </c>
      <c r="G96" s="116">
        <v>0</v>
      </c>
      <c r="H96" s="116">
        <v>0</v>
      </c>
      <c r="I96" s="116">
        <v>0</v>
      </c>
      <c r="J96" s="116">
        <v>0</v>
      </c>
      <c r="K96" s="116" t="s">
        <v>380</v>
      </c>
      <c r="L96" s="89" t="s">
        <v>381</v>
      </c>
      <c r="M96" s="94" t="s">
        <v>382</v>
      </c>
      <c r="N96" s="117">
        <v>1</v>
      </c>
      <c r="O96" s="118">
        <v>1</v>
      </c>
      <c r="P96" s="119">
        <v>0</v>
      </c>
      <c r="Q96" s="120">
        <v>0</v>
      </c>
      <c r="R96" s="120">
        <v>0</v>
      </c>
      <c r="S96" s="120">
        <v>0</v>
      </c>
      <c r="T96" s="120">
        <v>0</v>
      </c>
      <c r="U96" s="120">
        <v>0</v>
      </c>
      <c r="V96" s="120">
        <v>0</v>
      </c>
      <c r="W96" s="120">
        <v>0</v>
      </c>
      <c r="X96" s="119">
        <v>0</v>
      </c>
      <c r="Y96" s="121">
        <v>0</v>
      </c>
      <c r="Z96" s="122">
        <v>0</v>
      </c>
      <c r="AA96" s="119">
        <v>0</v>
      </c>
      <c r="AB96" s="134" t="s">
        <v>365</v>
      </c>
      <c r="AC96" s="134" t="s">
        <v>365</v>
      </c>
      <c r="AD96" s="137" t="s">
        <v>58</v>
      </c>
      <c r="AE96" s="137" t="s">
        <v>40</v>
      </c>
      <c r="AF96" s="114" t="s">
        <v>370</v>
      </c>
    </row>
    <row r="97" spans="1:32" s="114" customFormat="1" x14ac:dyDescent="0.25">
      <c r="A97" s="89" t="s">
        <v>365</v>
      </c>
      <c r="B97" s="92" t="s">
        <v>383</v>
      </c>
      <c r="C97" s="116">
        <v>0</v>
      </c>
      <c r="D97" s="116">
        <v>0</v>
      </c>
      <c r="E97" s="116">
        <v>0</v>
      </c>
      <c r="F97" s="116">
        <v>1</v>
      </c>
      <c r="G97" s="116">
        <v>0</v>
      </c>
      <c r="H97" s="116">
        <v>0</v>
      </c>
      <c r="I97" s="116">
        <v>0</v>
      </c>
      <c r="J97" s="116">
        <v>0</v>
      </c>
      <c r="K97" s="116" t="s">
        <v>384</v>
      </c>
      <c r="L97" s="89" t="s">
        <v>385</v>
      </c>
      <c r="M97" s="94" t="s">
        <v>386</v>
      </c>
      <c r="N97" s="117">
        <v>1</v>
      </c>
      <c r="O97" s="118">
        <v>1</v>
      </c>
      <c r="P97" s="119">
        <v>0</v>
      </c>
      <c r="Q97" s="120">
        <v>0</v>
      </c>
      <c r="R97" s="120">
        <v>0</v>
      </c>
      <c r="S97" s="120">
        <v>0</v>
      </c>
      <c r="T97" s="120">
        <v>0</v>
      </c>
      <c r="U97" s="120">
        <v>0</v>
      </c>
      <c r="V97" s="120">
        <v>0</v>
      </c>
      <c r="W97" s="120">
        <v>0</v>
      </c>
      <c r="X97" s="119">
        <v>0</v>
      </c>
      <c r="Y97" s="121">
        <v>0</v>
      </c>
      <c r="Z97" s="122">
        <v>0</v>
      </c>
      <c r="AA97" s="119">
        <v>0</v>
      </c>
      <c r="AB97" s="134" t="s">
        <v>365</v>
      </c>
      <c r="AC97" s="134" t="s">
        <v>365</v>
      </c>
      <c r="AD97" s="137" t="s">
        <v>58</v>
      </c>
      <c r="AE97" s="137" t="s">
        <v>40</v>
      </c>
      <c r="AF97" s="114" t="s">
        <v>387</v>
      </c>
    </row>
    <row r="98" spans="1:32" s="114" customFormat="1" x14ac:dyDescent="0.25">
      <c r="A98" s="89" t="s">
        <v>365</v>
      </c>
      <c r="B98" s="92" t="s">
        <v>388</v>
      </c>
      <c r="C98" s="116">
        <v>0</v>
      </c>
      <c r="D98" s="116">
        <v>0</v>
      </c>
      <c r="E98" s="116">
        <v>0</v>
      </c>
      <c r="F98" s="116">
        <v>1</v>
      </c>
      <c r="G98" s="116">
        <v>0</v>
      </c>
      <c r="H98" s="116">
        <v>0</v>
      </c>
      <c r="I98" s="116">
        <v>0</v>
      </c>
      <c r="J98" s="116">
        <v>0</v>
      </c>
      <c r="K98" s="116" t="s">
        <v>384</v>
      </c>
      <c r="L98" s="89" t="s">
        <v>385</v>
      </c>
      <c r="M98" s="94" t="s">
        <v>389</v>
      </c>
      <c r="N98" s="117">
        <v>1</v>
      </c>
      <c r="O98" s="118">
        <v>1</v>
      </c>
      <c r="P98" s="119">
        <v>0</v>
      </c>
      <c r="Q98" s="120">
        <v>0</v>
      </c>
      <c r="R98" s="120">
        <v>0</v>
      </c>
      <c r="S98" s="120">
        <v>0</v>
      </c>
      <c r="T98" s="120">
        <v>0</v>
      </c>
      <c r="U98" s="120">
        <v>0</v>
      </c>
      <c r="V98" s="120">
        <v>0</v>
      </c>
      <c r="W98" s="120">
        <v>0</v>
      </c>
      <c r="X98" s="119">
        <v>0</v>
      </c>
      <c r="Y98" s="121">
        <v>0</v>
      </c>
      <c r="Z98" s="122">
        <v>0</v>
      </c>
      <c r="AA98" s="119">
        <v>0</v>
      </c>
      <c r="AB98" s="134" t="s">
        <v>365</v>
      </c>
      <c r="AC98" s="134" t="s">
        <v>365</v>
      </c>
      <c r="AD98" s="137" t="s">
        <v>58</v>
      </c>
      <c r="AE98" s="137" t="s">
        <v>40</v>
      </c>
      <c r="AF98" s="114" t="s">
        <v>387</v>
      </c>
    </row>
    <row r="99" spans="1:32" s="114" customFormat="1" x14ac:dyDescent="0.25">
      <c r="A99" s="89" t="s">
        <v>365</v>
      </c>
      <c r="B99" s="92" t="s">
        <v>390</v>
      </c>
      <c r="C99" s="116">
        <v>0</v>
      </c>
      <c r="D99" s="116">
        <v>0</v>
      </c>
      <c r="E99" s="116">
        <v>0</v>
      </c>
      <c r="F99" s="116">
        <v>1</v>
      </c>
      <c r="G99" s="116">
        <v>0</v>
      </c>
      <c r="H99" s="116">
        <v>0</v>
      </c>
      <c r="I99" s="116">
        <v>0</v>
      </c>
      <c r="J99" s="116">
        <v>0</v>
      </c>
      <c r="K99" s="116" t="s">
        <v>391</v>
      </c>
      <c r="L99" s="89" t="s">
        <v>392</v>
      </c>
      <c r="M99" s="94" t="s">
        <v>393</v>
      </c>
      <c r="N99" s="117">
        <v>1</v>
      </c>
      <c r="O99" s="118">
        <v>1</v>
      </c>
      <c r="P99" s="119">
        <v>0</v>
      </c>
      <c r="Q99" s="120">
        <v>0</v>
      </c>
      <c r="R99" s="120">
        <v>0</v>
      </c>
      <c r="S99" s="120">
        <v>0</v>
      </c>
      <c r="T99" s="120">
        <v>0</v>
      </c>
      <c r="U99" s="120">
        <v>0</v>
      </c>
      <c r="V99" s="120">
        <v>0</v>
      </c>
      <c r="W99" s="120">
        <v>0</v>
      </c>
      <c r="X99" s="119">
        <v>0</v>
      </c>
      <c r="Y99" s="121">
        <v>0</v>
      </c>
      <c r="Z99" s="122">
        <v>0</v>
      </c>
      <c r="AA99" s="119">
        <v>0</v>
      </c>
      <c r="AB99" s="134" t="s">
        <v>365</v>
      </c>
      <c r="AC99" s="134" t="s">
        <v>365</v>
      </c>
      <c r="AD99" s="137" t="s">
        <v>53</v>
      </c>
      <c r="AE99" s="137" t="s">
        <v>40</v>
      </c>
      <c r="AF99" s="114" t="s">
        <v>387</v>
      </c>
    </row>
    <row r="100" spans="1:32" s="114" customFormat="1" x14ac:dyDescent="0.25">
      <c r="A100" s="89" t="s">
        <v>365</v>
      </c>
      <c r="B100" s="92" t="s">
        <v>140</v>
      </c>
      <c r="C100" s="116">
        <v>0</v>
      </c>
      <c r="D100" s="116">
        <v>0</v>
      </c>
      <c r="E100" s="116">
        <v>0</v>
      </c>
      <c r="F100" s="116">
        <v>0</v>
      </c>
      <c r="G100" s="116">
        <v>0</v>
      </c>
      <c r="H100" s="116">
        <v>0</v>
      </c>
      <c r="I100" s="116">
        <v>0</v>
      </c>
      <c r="J100" s="116">
        <v>0</v>
      </c>
      <c r="K100" s="116" t="s">
        <v>391</v>
      </c>
      <c r="L100" s="89" t="s">
        <v>392</v>
      </c>
      <c r="M100" s="94" t="s">
        <v>394</v>
      </c>
      <c r="N100" s="117">
        <v>1</v>
      </c>
      <c r="O100" s="118">
        <v>1</v>
      </c>
      <c r="P100" s="119">
        <v>0</v>
      </c>
      <c r="Q100" s="120">
        <v>0</v>
      </c>
      <c r="R100" s="120">
        <v>0</v>
      </c>
      <c r="S100" s="120">
        <v>0</v>
      </c>
      <c r="T100" s="120">
        <v>0</v>
      </c>
      <c r="U100" s="120">
        <v>0</v>
      </c>
      <c r="V100" s="120">
        <v>0</v>
      </c>
      <c r="W100" s="120">
        <v>0</v>
      </c>
      <c r="X100" s="119">
        <v>0</v>
      </c>
      <c r="Y100" s="121">
        <v>0</v>
      </c>
      <c r="Z100" s="122">
        <v>0</v>
      </c>
      <c r="AA100" s="119">
        <v>0</v>
      </c>
      <c r="AB100" s="134" t="s">
        <v>365</v>
      </c>
      <c r="AC100" s="134" t="s">
        <v>365</v>
      </c>
      <c r="AD100" s="137" t="s">
        <v>53</v>
      </c>
      <c r="AE100" s="137" t="s">
        <v>40</v>
      </c>
      <c r="AF100" s="114" t="s">
        <v>387</v>
      </c>
    </row>
    <row r="101" spans="1:32" s="114" customFormat="1" x14ac:dyDescent="0.25">
      <c r="A101" s="89" t="s">
        <v>365</v>
      </c>
      <c r="B101" s="92" t="s">
        <v>153</v>
      </c>
      <c r="C101" s="116">
        <v>0</v>
      </c>
      <c r="D101" s="116">
        <v>0</v>
      </c>
      <c r="E101" s="116">
        <v>0</v>
      </c>
      <c r="F101" s="116">
        <v>4</v>
      </c>
      <c r="G101" s="116">
        <v>0</v>
      </c>
      <c r="H101" s="116">
        <v>0</v>
      </c>
      <c r="I101" s="116">
        <v>0</v>
      </c>
      <c r="J101" s="116">
        <v>0</v>
      </c>
      <c r="K101" s="116" t="s">
        <v>150</v>
      </c>
      <c r="L101" s="89" t="s">
        <v>151</v>
      </c>
      <c r="M101" s="94" t="s">
        <v>395</v>
      </c>
      <c r="N101" s="117">
        <v>4</v>
      </c>
      <c r="O101" s="118">
        <v>4</v>
      </c>
      <c r="P101" s="119">
        <v>0</v>
      </c>
      <c r="Q101" s="120">
        <v>0</v>
      </c>
      <c r="R101" s="120">
        <v>0</v>
      </c>
      <c r="S101" s="120">
        <v>0</v>
      </c>
      <c r="T101" s="120">
        <v>0</v>
      </c>
      <c r="U101" s="120">
        <v>0</v>
      </c>
      <c r="V101" s="120">
        <v>0</v>
      </c>
      <c r="W101" s="120">
        <v>0</v>
      </c>
      <c r="X101" s="119">
        <v>0</v>
      </c>
      <c r="Y101" s="121">
        <v>0</v>
      </c>
      <c r="Z101" s="122">
        <v>0</v>
      </c>
      <c r="AA101" s="119">
        <v>0</v>
      </c>
      <c r="AB101" s="134" t="s">
        <v>365</v>
      </c>
      <c r="AC101" s="134" t="s">
        <v>365</v>
      </c>
      <c r="AD101" s="137" t="s">
        <v>53</v>
      </c>
      <c r="AE101" s="137" t="s">
        <v>40</v>
      </c>
    </row>
    <row r="102" spans="1:32" s="114" customFormat="1" x14ac:dyDescent="0.25">
      <c r="A102" s="89" t="s">
        <v>396</v>
      </c>
      <c r="B102" s="92" t="s">
        <v>397</v>
      </c>
      <c r="C102" s="116">
        <v>0</v>
      </c>
      <c r="D102" s="116">
        <v>0</v>
      </c>
      <c r="E102" s="116">
        <v>0</v>
      </c>
      <c r="F102" s="116">
        <v>1</v>
      </c>
      <c r="G102" s="116">
        <v>0</v>
      </c>
      <c r="H102" s="116">
        <v>0</v>
      </c>
      <c r="I102" s="116">
        <v>0</v>
      </c>
      <c r="J102" s="116">
        <v>0</v>
      </c>
      <c r="K102" s="116" t="s">
        <v>398</v>
      </c>
      <c r="L102" s="89" t="s">
        <v>399</v>
      </c>
      <c r="M102" s="94" t="s">
        <v>400</v>
      </c>
      <c r="N102" s="117">
        <v>1</v>
      </c>
      <c r="O102" s="118">
        <v>1</v>
      </c>
      <c r="P102" s="119">
        <v>0</v>
      </c>
      <c r="Q102" s="120">
        <v>0</v>
      </c>
      <c r="R102" s="120">
        <v>0</v>
      </c>
      <c r="S102" s="120">
        <v>0</v>
      </c>
      <c r="T102" s="120">
        <v>0</v>
      </c>
      <c r="U102" s="120">
        <v>0</v>
      </c>
      <c r="V102" s="120">
        <v>0</v>
      </c>
      <c r="W102" s="120">
        <v>0</v>
      </c>
      <c r="X102" s="119">
        <v>0</v>
      </c>
      <c r="Y102" s="121">
        <v>0</v>
      </c>
      <c r="Z102" s="122">
        <v>0</v>
      </c>
      <c r="AA102" s="119">
        <v>0</v>
      </c>
      <c r="AB102" s="134" t="s">
        <v>396</v>
      </c>
      <c r="AC102" s="134" t="s">
        <v>396</v>
      </c>
      <c r="AD102" s="137" t="s">
        <v>58</v>
      </c>
      <c r="AE102" s="137" t="s">
        <v>40</v>
      </c>
      <c r="AF102" s="114" t="s">
        <v>374</v>
      </c>
    </row>
    <row r="103" spans="1:32" s="114" customFormat="1" x14ac:dyDescent="0.25">
      <c r="A103" s="89" t="s">
        <v>396</v>
      </c>
      <c r="B103" s="92" t="s">
        <v>401</v>
      </c>
      <c r="C103" s="116">
        <v>1</v>
      </c>
      <c r="D103" s="116">
        <v>0</v>
      </c>
      <c r="E103" s="116">
        <v>0</v>
      </c>
      <c r="F103" s="116">
        <v>0</v>
      </c>
      <c r="G103" s="116">
        <v>0</v>
      </c>
      <c r="H103" s="116">
        <v>0</v>
      </c>
      <c r="I103" s="116">
        <v>0</v>
      </c>
      <c r="J103" s="116">
        <v>0</v>
      </c>
      <c r="K103" s="116" t="s">
        <v>402</v>
      </c>
      <c r="L103" s="89" t="s">
        <v>403</v>
      </c>
      <c r="M103" s="143" t="s">
        <v>404</v>
      </c>
      <c r="N103" s="117">
        <v>1</v>
      </c>
      <c r="O103" s="118">
        <v>1</v>
      </c>
      <c r="P103" s="119">
        <v>0</v>
      </c>
      <c r="Q103" s="120">
        <v>0</v>
      </c>
      <c r="R103" s="120">
        <v>0</v>
      </c>
      <c r="S103" s="120">
        <v>0</v>
      </c>
      <c r="T103" s="120">
        <v>0</v>
      </c>
      <c r="U103" s="120">
        <v>0</v>
      </c>
      <c r="V103" s="120">
        <v>0</v>
      </c>
      <c r="W103" s="120">
        <v>0</v>
      </c>
      <c r="X103" s="119">
        <v>0</v>
      </c>
      <c r="Y103" s="121">
        <v>0</v>
      </c>
      <c r="Z103" s="122">
        <v>0</v>
      </c>
      <c r="AA103" s="119">
        <v>0</v>
      </c>
      <c r="AB103" s="134" t="s">
        <v>396</v>
      </c>
      <c r="AC103" s="134" t="s">
        <v>396</v>
      </c>
      <c r="AD103" s="137" t="s">
        <v>53</v>
      </c>
      <c r="AE103" s="137" t="s">
        <v>40</v>
      </c>
    </row>
    <row r="104" spans="1:32" s="114" customFormat="1" x14ac:dyDescent="0.25">
      <c r="A104" s="89" t="s">
        <v>396</v>
      </c>
      <c r="B104" s="92" t="s">
        <v>405</v>
      </c>
      <c r="C104" s="116">
        <v>1</v>
      </c>
      <c r="D104" s="116">
        <v>0</v>
      </c>
      <c r="E104" s="116">
        <v>0</v>
      </c>
      <c r="F104" s="116">
        <v>0</v>
      </c>
      <c r="G104" s="116">
        <v>0</v>
      </c>
      <c r="H104" s="116">
        <v>0</v>
      </c>
      <c r="I104" s="116">
        <v>0</v>
      </c>
      <c r="J104" s="116">
        <v>0</v>
      </c>
      <c r="K104" s="116" t="s">
        <v>406</v>
      </c>
      <c r="L104" s="89" t="s">
        <v>407</v>
      </c>
      <c r="M104" s="143" t="s">
        <v>408</v>
      </c>
      <c r="N104" s="117">
        <v>1</v>
      </c>
      <c r="O104" s="118">
        <v>1</v>
      </c>
      <c r="P104" s="119">
        <v>0</v>
      </c>
      <c r="Q104" s="120">
        <v>0</v>
      </c>
      <c r="R104" s="120">
        <v>0</v>
      </c>
      <c r="S104" s="120">
        <v>0</v>
      </c>
      <c r="T104" s="120">
        <v>0</v>
      </c>
      <c r="U104" s="120">
        <v>0</v>
      </c>
      <c r="V104" s="120">
        <v>0</v>
      </c>
      <c r="W104" s="120">
        <v>0</v>
      </c>
      <c r="X104" s="119">
        <v>0</v>
      </c>
      <c r="Y104" s="121">
        <v>0</v>
      </c>
      <c r="Z104" s="122">
        <v>0</v>
      </c>
      <c r="AA104" s="119">
        <v>0</v>
      </c>
      <c r="AB104" s="134" t="s">
        <v>396</v>
      </c>
      <c r="AC104" s="134" t="s">
        <v>396</v>
      </c>
      <c r="AD104" s="137" t="s">
        <v>58</v>
      </c>
      <c r="AE104" s="137" t="s">
        <v>40</v>
      </c>
      <c r="AF104" s="114" t="s">
        <v>409</v>
      </c>
    </row>
    <row r="105" spans="1:32" s="114" customFormat="1" x14ac:dyDescent="0.25">
      <c r="A105" s="89" t="s">
        <v>410</v>
      </c>
      <c r="B105" s="92" t="s">
        <v>411</v>
      </c>
      <c r="C105" s="116">
        <v>0</v>
      </c>
      <c r="D105" s="116">
        <v>0</v>
      </c>
      <c r="E105" s="116">
        <v>0</v>
      </c>
      <c r="F105" s="116">
        <v>2</v>
      </c>
      <c r="G105" s="116">
        <v>0</v>
      </c>
      <c r="H105" s="116">
        <v>0</v>
      </c>
      <c r="I105" s="116">
        <v>0</v>
      </c>
      <c r="J105" s="116">
        <v>0</v>
      </c>
      <c r="K105" s="116" t="s">
        <v>412</v>
      </c>
      <c r="L105" s="89" t="s">
        <v>413</v>
      </c>
      <c r="M105" s="94" t="s">
        <v>414</v>
      </c>
      <c r="N105" s="117">
        <v>2</v>
      </c>
      <c r="O105" s="118">
        <v>2</v>
      </c>
      <c r="P105" s="119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19">
        <v>0</v>
      </c>
      <c r="Y105" s="121">
        <v>0</v>
      </c>
      <c r="Z105" s="122">
        <v>0</v>
      </c>
      <c r="AA105" s="119">
        <v>0</v>
      </c>
      <c r="AB105" s="134" t="s">
        <v>396</v>
      </c>
      <c r="AC105" s="134" t="s">
        <v>396</v>
      </c>
      <c r="AD105" s="137" t="s">
        <v>415</v>
      </c>
      <c r="AE105" s="137" t="s">
        <v>40</v>
      </c>
      <c r="AF105" s="114" t="s">
        <v>416</v>
      </c>
    </row>
    <row r="106" spans="1:32" s="114" customFormat="1" x14ac:dyDescent="0.25">
      <c r="A106" s="89" t="s">
        <v>410</v>
      </c>
      <c r="B106" s="92" t="s">
        <v>417</v>
      </c>
      <c r="C106" s="116">
        <v>1</v>
      </c>
      <c r="D106" s="116">
        <v>0</v>
      </c>
      <c r="E106" s="116">
        <v>1</v>
      </c>
      <c r="F106" s="116">
        <v>0</v>
      </c>
      <c r="G106" s="116">
        <v>0</v>
      </c>
      <c r="H106" s="116">
        <v>0</v>
      </c>
      <c r="I106" s="116">
        <v>0</v>
      </c>
      <c r="J106" s="116">
        <v>0</v>
      </c>
      <c r="K106" s="116" t="s">
        <v>418</v>
      </c>
      <c r="L106" s="89" t="s">
        <v>419</v>
      </c>
      <c r="M106" s="94" t="s">
        <v>420</v>
      </c>
      <c r="N106" s="117">
        <v>1</v>
      </c>
      <c r="O106" s="118">
        <v>1</v>
      </c>
      <c r="P106" s="119">
        <v>0</v>
      </c>
      <c r="Q106" s="120">
        <v>0</v>
      </c>
      <c r="R106" s="120">
        <v>0</v>
      </c>
      <c r="S106" s="120">
        <v>0</v>
      </c>
      <c r="T106" s="120">
        <v>0</v>
      </c>
      <c r="U106" s="120">
        <v>0</v>
      </c>
      <c r="V106" s="120">
        <v>0</v>
      </c>
      <c r="W106" s="120">
        <v>0</v>
      </c>
      <c r="X106" s="119">
        <v>0</v>
      </c>
      <c r="Y106" s="121">
        <v>0</v>
      </c>
      <c r="Z106" s="122">
        <v>0</v>
      </c>
      <c r="AA106" s="119">
        <v>0</v>
      </c>
      <c r="AB106" s="134" t="s">
        <v>410</v>
      </c>
      <c r="AC106" s="134" t="s">
        <v>410</v>
      </c>
      <c r="AD106" s="137" t="s">
        <v>53</v>
      </c>
      <c r="AE106" s="137" t="s">
        <v>40</v>
      </c>
      <c r="AF106" s="114" t="s">
        <v>421</v>
      </c>
    </row>
    <row r="107" spans="1:32" s="114" customFormat="1" x14ac:dyDescent="0.25">
      <c r="A107" s="89" t="s">
        <v>410</v>
      </c>
      <c r="B107" s="89" t="s">
        <v>78</v>
      </c>
      <c r="C107" s="116">
        <v>0</v>
      </c>
      <c r="D107" s="116">
        <v>0</v>
      </c>
      <c r="E107" s="116">
        <v>0</v>
      </c>
      <c r="F107" s="116">
        <v>1</v>
      </c>
      <c r="G107" s="116">
        <v>0</v>
      </c>
      <c r="H107" s="116">
        <v>0</v>
      </c>
      <c r="I107" s="116">
        <v>0</v>
      </c>
      <c r="J107" s="116">
        <v>0</v>
      </c>
      <c r="K107" s="116" t="s">
        <v>79</v>
      </c>
      <c r="L107" s="89" t="s">
        <v>422</v>
      </c>
      <c r="M107" s="94" t="s">
        <v>423</v>
      </c>
      <c r="N107" s="117">
        <v>1</v>
      </c>
      <c r="O107" s="118">
        <v>1</v>
      </c>
      <c r="P107" s="119">
        <v>0</v>
      </c>
      <c r="Q107" s="120">
        <v>0</v>
      </c>
      <c r="R107" s="120">
        <v>0</v>
      </c>
      <c r="S107" s="120">
        <v>0</v>
      </c>
      <c r="T107" s="120">
        <v>0</v>
      </c>
      <c r="U107" s="120">
        <v>0</v>
      </c>
      <c r="V107" s="120">
        <v>0</v>
      </c>
      <c r="W107" s="120">
        <v>0</v>
      </c>
      <c r="X107" s="119">
        <v>0</v>
      </c>
      <c r="Y107" s="121">
        <v>0</v>
      </c>
      <c r="Z107" s="122">
        <v>0</v>
      </c>
      <c r="AA107" s="119">
        <v>0</v>
      </c>
      <c r="AB107" s="134" t="s">
        <v>410</v>
      </c>
      <c r="AC107" s="134" t="s">
        <v>410</v>
      </c>
      <c r="AD107" s="137" t="s">
        <v>58</v>
      </c>
      <c r="AE107" s="137" t="s">
        <v>40</v>
      </c>
      <c r="AF107" s="114" t="s">
        <v>424</v>
      </c>
    </row>
    <row r="108" spans="1:32" s="114" customFormat="1" x14ac:dyDescent="0.25">
      <c r="A108" s="89" t="s">
        <v>410</v>
      </c>
      <c r="B108" s="89" t="s">
        <v>78</v>
      </c>
      <c r="C108" s="116">
        <v>0</v>
      </c>
      <c r="D108" s="116">
        <v>0</v>
      </c>
      <c r="E108" s="116">
        <v>0</v>
      </c>
      <c r="F108" s="116">
        <v>1</v>
      </c>
      <c r="G108" s="116">
        <v>0</v>
      </c>
      <c r="H108" s="116">
        <v>0</v>
      </c>
      <c r="I108" s="116">
        <v>0</v>
      </c>
      <c r="J108" s="116">
        <v>0</v>
      </c>
      <c r="K108" s="116" t="s">
        <v>79</v>
      </c>
      <c r="L108" s="89" t="s">
        <v>372</v>
      </c>
      <c r="M108" s="94" t="s">
        <v>425</v>
      </c>
      <c r="N108" s="117">
        <v>1</v>
      </c>
      <c r="O108" s="118">
        <v>1</v>
      </c>
      <c r="P108" s="119">
        <v>0</v>
      </c>
      <c r="Q108" s="120">
        <v>0</v>
      </c>
      <c r="R108" s="120">
        <v>0</v>
      </c>
      <c r="S108" s="120">
        <v>0</v>
      </c>
      <c r="T108" s="120">
        <v>0</v>
      </c>
      <c r="U108" s="120">
        <v>0</v>
      </c>
      <c r="V108" s="120">
        <v>0</v>
      </c>
      <c r="W108" s="120">
        <v>0</v>
      </c>
      <c r="X108" s="119">
        <v>0</v>
      </c>
      <c r="Y108" s="121">
        <v>0</v>
      </c>
      <c r="Z108" s="122">
        <v>0</v>
      </c>
      <c r="AA108" s="119">
        <v>0</v>
      </c>
      <c r="AB108" s="134" t="s">
        <v>410</v>
      </c>
      <c r="AC108" s="134" t="s">
        <v>410</v>
      </c>
      <c r="AD108" s="137" t="s">
        <v>58</v>
      </c>
      <c r="AE108" s="137" t="s">
        <v>40</v>
      </c>
      <c r="AF108" s="114" t="s">
        <v>426</v>
      </c>
    </row>
    <row r="109" spans="1:32" s="114" customFormat="1" x14ac:dyDescent="0.25">
      <c r="A109" s="89" t="s">
        <v>410</v>
      </c>
      <c r="B109" s="116" t="s">
        <v>201</v>
      </c>
      <c r="C109" s="116">
        <v>0</v>
      </c>
      <c r="D109" s="116">
        <v>0</v>
      </c>
      <c r="E109" s="116">
        <v>0</v>
      </c>
      <c r="F109" s="116">
        <v>1</v>
      </c>
      <c r="G109" s="116">
        <v>0</v>
      </c>
      <c r="H109" s="116">
        <v>0</v>
      </c>
      <c r="I109" s="116">
        <v>0</v>
      </c>
      <c r="J109" s="116">
        <v>0</v>
      </c>
      <c r="K109" s="116" t="s">
        <v>79</v>
      </c>
      <c r="L109" s="116" t="s">
        <v>422</v>
      </c>
      <c r="M109" s="94" t="s">
        <v>427</v>
      </c>
      <c r="N109" s="117">
        <v>1</v>
      </c>
      <c r="O109" s="118">
        <v>1</v>
      </c>
      <c r="P109" s="119">
        <v>0</v>
      </c>
      <c r="Q109" s="120">
        <v>0</v>
      </c>
      <c r="R109" s="120">
        <v>0</v>
      </c>
      <c r="S109" s="120">
        <v>0</v>
      </c>
      <c r="T109" s="120">
        <v>0</v>
      </c>
      <c r="U109" s="120">
        <v>0</v>
      </c>
      <c r="V109" s="120">
        <v>0</v>
      </c>
      <c r="W109" s="120">
        <v>0</v>
      </c>
      <c r="X109" s="119">
        <v>0</v>
      </c>
      <c r="Y109" s="121">
        <v>0</v>
      </c>
      <c r="Z109" s="122">
        <v>0</v>
      </c>
      <c r="AA109" s="119">
        <v>0</v>
      </c>
      <c r="AB109" s="134" t="s">
        <v>410</v>
      </c>
      <c r="AC109" s="134" t="s">
        <v>410</v>
      </c>
      <c r="AD109" s="137" t="s">
        <v>58</v>
      </c>
      <c r="AE109" s="137" t="s">
        <v>40</v>
      </c>
      <c r="AF109" s="114" t="s">
        <v>426</v>
      </c>
    </row>
    <row r="110" spans="1:32" s="114" customFormat="1" x14ac:dyDescent="0.25">
      <c r="A110" s="89" t="s">
        <v>410</v>
      </c>
      <c r="B110" s="116" t="s">
        <v>428</v>
      </c>
      <c r="C110" s="116">
        <v>0</v>
      </c>
      <c r="D110" s="116">
        <v>0</v>
      </c>
      <c r="E110" s="116">
        <v>0</v>
      </c>
      <c r="F110" s="116">
        <v>0</v>
      </c>
      <c r="G110" s="116">
        <v>0</v>
      </c>
      <c r="H110" s="116">
        <v>0</v>
      </c>
      <c r="I110" s="116">
        <v>0</v>
      </c>
      <c r="J110" s="116">
        <v>0</v>
      </c>
      <c r="K110" s="116" t="s">
        <v>429</v>
      </c>
      <c r="L110" s="89" t="s">
        <v>430</v>
      </c>
      <c r="M110" s="94" t="s">
        <v>431</v>
      </c>
      <c r="N110" s="117">
        <v>1</v>
      </c>
      <c r="O110" s="118">
        <v>1</v>
      </c>
      <c r="P110" s="119">
        <v>0</v>
      </c>
      <c r="Q110" s="120">
        <v>0</v>
      </c>
      <c r="R110" s="120">
        <v>0</v>
      </c>
      <c r="S110" s="120">
        <v>0</v>
      </c>
      <c r="T110" s="120">
        <v>0</v>
      </c>
      <c r="U110" s="120">
        <v>0</v>
      </c>
      <c r="V110" s="120">
        <v>0</v>
      </c>
      <c r="W110" s="120">
        <v>0</v>
      </c>
      <c r="X110" s="119">
        <v>0</v>
      </c>
      <c r="Y110" s="121">
        <v>0</v>
      </c>
      <c r="Z110" s="122">
        <v>0</v>
      </c>
      <c r="AA110" s="119">
        <v>0</v>
      </c>
      <c r="AB110" s="134" t="s">
        <v>410</v>
      </c>
      <c r="AC110" s="134" t="s">
        <v>410</v>
      </c>
      <c r="AD110" s="137" t="s">
        <v>58</v>
      </c>
      <c r="AE110" s="137" t="s">
        <v>40</v>
      </c>
      <c r="AF110" s="114" t="s">
        <v>426</v>
      </c>
    </row>
    <row r="111" spans="1:32" s="114" customFormat="1" x14ac:dyDescent="0.25">
      <c r="A111" s="89" t="s">
        <v>432</v>
      </c>
      <c r="B111" s="89" t="s">
        <v>433</v>
      </c>
      <c r="C111" s="116">
        <v>1</v>
      </c>
      <c r="D111" s="116">
        <v>0</v>
      </c>
      <c r="E111" s="116">
        <v>0</v>
      </c>
      <c r="F111" s="116">
        <v>0</v>
      </c>
      <c r="G111" s="116">
        <v>0</v>
      </c>
      <c r="H111" s="116">
        <v>0</v>
      </c>
      <c r="I111" s="116">
        <v>0</v>
      </c>
      <c r="J111" s="116">
        <v>0</v>
      </c>
      <c r="K111" s="116" t="s">
        <v>434</v>
      </c>
      <c r="L111" s="89" t="s">
        <v>435</v>
      </c>
      <c r="M111" s="94" t="s">
        <v>436</v>
      </c>
      <c r="N111" s="117">
        <v>1</v>
      </c>
      <c r="O111" s="118">
        <v>1</v>
      </c>
      <c r="P111" s="119">
        <v>0</v>
      </c>
      <c r="Q111" s="120">
        <v>0</v>
      </c>
      <c r="R111" s="120">
        <v>0</v>
      </c>
      <c r="S111" s="120">
        <v>0</v>
      </c>
      <c r="T111" s="120">
        <v>0</v>
      </c>
      <c r="U111" s="120">
        <v>0</v>
      </c>
      <c r="V111" s="120">
        <v>0</v>
      </c>
      <c r="W111" s="120">
        <v>0</v>
      </c>
      <c r="X111" s="119">
        <v>0</v>
      </c>
      <c r="Y111" s="121">
        <v>0</v>
      </c>
      <c r="Z111" s="122">
        <v>0</v>
      </c>
      <c r="AA111" s="119">
        <v>0</v>
      </c>
      <c r="AB111" s="134" t="s">
        <v>432</v>
      </c>
      <c r="AC111" s="134" t="s">
        <v>432</v>
      </c>
      <c r="AD111" s="137" t="s">
        <v>58</v>
      </c>
      <c r="AE111" s="137" t="s">
        <v>40</v>
      </c>
      <c r="AF111" s="114" t="s">
        <v>437</v>
      </c>
    </row>
    <row r="112" spans="1:32" s="114" customFormat="1" x14ac:dyDescent="0.25">
      <c r="A112" s="89" t="s">
        <v>432</v>
      </c>
      <c r="B112" s="89" t="s">
        <v>438</v>
      </c>
      <c r="C112" s="116">
        <v>1</v>
      </c>
      <c r="D112" s="116">
        <v>0</v>
      </c>
      <c r="E112" s="116">
        <v>0</v>
      </c>
      <c r="F112" s="116">
        <v>0</v>
      </c>
      <c r="G112" s="116">
        <v>0</v>
      </c>
      <c r="H112" s="116">
        <v>0</v>
      </c>
      <c r="I112" s="116">
        <v>0</v>
      </c>
      <c r="J112" s="116">
        <v>0</v>
      </c>
      <c r="K112" s="116" t="s">
        <v>406</v>
      </c>
      <c r="L112" s="89" t="s">
        <v>439</v>
      </c>
      <c r="M112" s="94" t="s">
        <v>440</v>
      </c>
      <c r="N112" s="117">
        <v>1</v>
      </c>
      <c r="O112" s="118">
        <v>1</v>
      </c>
      <c r="P112" s="119">
        <v>0</v>
      </c>
      <c r="Q112" s="120">
        <v>0</v>
      </c>
      <c r="R112" s="120">
        <v>0</v>
      </c>
      <c r="S112" s="120">
        <v>0</v>
      </c>
      <c r="T112" s="120">
        <v>0</v>
      </c>
      <c r="U112" s="120">
        <v>0</v>
      </c>
      <c r="V112" s="120">
        <v>0</v>
      </c>
      <c r="W112" s="120">
        <v>0</v>
      </c>
      <c r="X112" s="119">
        <v>0</v>
      </c>
      <c r="Y112" s="121">
        <v>0</v>
      </c>
      <c r="Z112" s="122">
        <v>0</v>
      </c>
      <c r="AA112" s="119">
        <v>0</v>
      </c>
      <c r="AB112" s="134" t="s">
        <v>432</v>
      </c>
      <c r="AC112" s="134" t="s">
        <v>432</v>
      </c>
      <c r="AD112" s="137" t="s">
        <v>72</v>
      </c>
      <c r="AE112" s="137" t="s">
        <v>40</v>
      </c>
      <c r="AF112" s="114" t="s">
        <v>441</v>
      </c>
    </row>
    <row r="113" spans="1:32" s="114" customFormat="1" x14ac:dyDescent="0.25">
      <c r="A113" s="89" t="s">
        <v>432</v>
      </c>
      <c r="B113" s="89" t="s">
        <v>442</v>
      </c>
      <c r="C113" s="116">
        <v>1</v>
      </c>
      <c r="D113" s="116">
        <v>0</v>
      </c>
      <c r="E113" s="116">
        <v>0</v>
      </c>
      <c r="F113" s="116">
        <v>0</v>
      </c>
      <c r="G113" s="116">
        <v>0</v>
      </c>
      <c r="H113" s="116">
        <v>0</v>
      </c>
      <c r="I113" s="116">
        <v>0</v>
      </c>
      <c r="J113" s="116">
        <v>0</v>
      </c>
      <c r="K113" s="116" t="s">
        <v>434</v>
      </c>
      <c r="L113" s="89" t="s">
        <v>435</v>
      </c>
      <c r="M113" s="94" t="s">
        <v>443</v>
      </c>
      <c r="N113" s="117">
        <v>1</v>
      </c>
      <c r="O113" s="118">
        <v>1</v>
      </c>
      <c r="P113" s="119">
        <v>0</v>
      </c>
      <c r="Q113" s="120">
        <v>0</v>
      </c>
      <c r="R113" s="120">
        <v>0</v>
      </c>
      <c r="S113" s="120">
        <v>0</v>
      </c>
      <c r="T113" s="120">
        <v>0</v>
      </c>
      <c r="U113" s="120">
        <v>0</v>
      </c>
      <c r="V113" s="120">
        <v>0</v>
      </c>
      <c r="W113" s="120">
        <v>0</v>
      </c>
      <c r="X113" s="119">
        <v>0</v>
      </c>
      <c r="Y113" s="121">
        <v>0</v>
      </c>
      <c r="Z113" s="122">
        <v>0</v>
      </c>
      <c r="AA113" s="119">
        <v>0</v>
      </c>
      <c r="AB113" s="134" t="s">
        <v>432</v>
      </c>
      <c r="AC113" s="134" t="s">
        <v>432</v>
      </c>
      <c r="AD113" s="137" t="s">
        <v>58</v>
      </c>
      <c r="AE113" s="137" t="s">
        <v>40</v>
      </c>
      <c r="AF113" s="114" t="s">
        <v>370</v>
      </c>
    </row>
    <row r="114" spans="1:32" s="114" customFormat="1" x14ac:dyDescent="0.25">
      <c r="A114" s="89" t="s">
        <v>432</v>
      </c>
      <c r="B114" s="89" t="s">
        <v>444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11</v>
      </c>
      <c r="J114" s="116">
        <v>0</v>
      </c>
      <c r="K114" s="116" t="s">
        <v>445</v>
      </c>
      <c r="L114" s="89" t="s">
        <v>446</v>
      </c>
      <c r="M114" s="94" t="s">
        <v>447</v>
      </c>
      <c r="N114" s="117">
        <v>11</v>
      </c>
      <c r="O114" s="118">
        <v>11</v>
      </c>
      <c r="P114" s="119">
        <v>0</v>
      </c>
      <c r="Q114" s="120">
        <v>0</v>
      </c>
      <c r="R114" s="120">
        <v>0</v>
      </c>
      <c r="S114" s="120">
        <v>0</v>
      </c>
      <c r="T114" s="120">
        <v>0</v>
      </c>
      <c r="U114" s="120">
        <v>0</v>
      </c>
      <c r="V114" s="120">
        <v>0</v>
      </c>
      <c r="W114" s="120">
        <v>0</v>
      </c>
      <c r="X114" s="119">
        <v>0</v>
      </c>
      <c r="Y114" s="121">
        <v>0</v>
      </c>
      <c r="Z114" s="122">
        <v>0</v>
      </c>
      <c r="AA114" s="119">
        <v>0</v>
      </c>
      <c r="AB114" s="134" t="s">
        <v>432</v>
      </c>
      <c r="AC114" s="134" t="s">
        <v>432</v>
      </c>
      <c r="AD114" s="137" t="s">
        <v>448</v>
      </c>
      <c r="AE114" s="137" t="s">
        <v>40</v>
      </c>
      <c r="AF114" s="114" t="s">
        <v>449</v>
      </c>
    </row>
    <row r="115" spans="1:32" s="114" customFormat="1" x14ac:dyDescent="0.25">
      <c r="A115" s="89" t="s">
        <v>432</v>
      </c>
      <c r="B115" s="89" t="s">
        <v>450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11</v>
      </c>
      <c r="J115" s="116">
        <v>0</v>
      </c>
      <c r="K115" s="116" t="s">
        <v>445</v>
      </c>
      <c r="L115" s="89" t="s">
        <v>446</v>
      </c>
      <c r="M115" s="94" t="s">
        <v>451</v>
      </c>
      <c r="N115" s="117">
        <v>11</v>
      </c>
      <c r="O115" s="118">
        <v>11</v>
      </c>
      <c r="P115" s="119">
        <v>0</v>
      </c>
      <c r="Q115" s="120">
        <v>0</v>
      </c>
      <c r="R115" s="120">
        <v>0</v>
      </c>
      <c r="S115" s="120">
        <v>0</v>
      </c>
      <c r="T115" s="120">
        <v>0</v>
      </c>
      <c r="U115" s="120">
        <v>0</v>
      </c>
      <c r="V115" s="120">
        <v>0</v>
      </c>
      <c r="W115" s="120">
        <v>0</v>
      </c>
      <c r="X115" s="119">
        <v>0</v>
      </c>
      <c r="Y115" s="121">
        <v>0</v>
      </c>
      <c r="Z115" s="122">
        <v>0</v>
      </c>
      <c r="AA115" s="119">
        <v>0</v>
      </c>
      <c r="AB115" s="134" t="s">
        <v>432</v>
      </c>
      <c r="AC115" s="134" t="s">
        <v>432</v>
      </c>
      <c r="AD115" s="137" t="s">
        <v>58</v>
      </c>
      <c r="AE115" s="137" t="s">
        <v>40</v>
      </c>
    </row>
    <row r="116" spans="1:32" s="114" customFormat="1" x14ac:dyDescent="0.25">
      <c r="A116" s="89" t="s">
        <v>452</v>
      </c>
      <c r="B116" s="89" t="s">
        <v>453</v>
      </c>
      <c r="C116" s="116">
        <v>0</v>
      </c>
      <c r="D116" s="116">
        <v>0</v>
      </c>
      <c r="E116" s="116">
        <v>0</v>
      </c>
      <c r="F116" s="116">
        <v>4</v>
      </c>
      <c r="G116" s="116">
        <v>0</v>
      </c>
      <c r="H116" s="116">
        <v>0</v>
      </c>
      <c r="I116" s="116">
        <v>0</v>
      </c>
      <c r="J116" s="116">
        <v>0</v>
      </c>
      <c r="K116" s="116" t="s">
        <v>376</v>
      </c>
      <c r="L116" s="89" t="s">
        <v>454</v>
      </c>
      <c r="M116" s="94" t="s">
        <v>455</v>
      </c>
      <c r="N116" s="117">
        <v>4</v>
      </c>
      <c r="O116" s="118">
        <v>4</v>
      </c>
      <c r="P116" s="119">
        <v>0</v>
      </c>
      <c r="Q116" s="120">
        <v>0</v>
      </c>
      <c r="R116" s="120">
        <v>0</v>
      </c>
      <c r="S116" s="120">
        <v>0</v>
      </c>
      <c r="T116" s="120">
        <v>0</v>
      </c>
      <c r="U116" s="120">
        <v>0</v>
      </c>
      <c r="V116" s="120">
        <v>0</v>
      </c>
      <c r="W116" s="120">
        <v>0</v>
      </c>
      <c r="X116" s="119">
        <v>0</v>
      </c>
      <c r="Y116" s="121">
        <v>0</v>
      </c>
      <c r="Z116" s="122">
        <v>0</v>
      </c>
      <c r="AA116" s="119">
        <v>0</v>
      </c>
      <c r="AB116" s="134" t="s">
        <v>452</v>
      </c>
      <c r="AC116" s="134" t="s">
        <v>452</v>
      </c>
      <c r="AD116" s="137" t="s">
        <v>40</v>
      </c>
      <c r="AE116" s="137" t="s">
        <v>40</v>
      </c>
      <c r="AF116" s="114" t="s">
        <v>456</v>
      </c>
    </row>
    <row r="117" spans="1:32" s="114" customFormat="1" x14ac:dyDescent="0.25">
      <c r="A117" s="89" t="s">
        <v>452</v>
      </c>
      <c r="B117" s="89" t="s">
        <v>457</v>
      </c>
      <c r="C117" s="116">
        <v>0</v>
      </c>
      <c r="D117" s="116">
        <v>0</v>
      </c>
      <c r="E117" s="116">
        <v>0</v>
      </c>
      <c r="F117" s="116">
        <v>10</v>
      </c>
      <c r="G117" s="116">
        <v>0</v>
      </c>
      <c r="H117" s="116">
        <v>0</v>
      </c>
      <c r="I117" s="116">
        <v>0</v>
      </c>
      <c r="J117" s="116">
        <v>0</v>
      </c>
      <c r="K117" s="116" t="s">
        <v>458</v>
      </c>
      <c r="L117" s="89" t="s">
        <v>459</v>
      </c>
      <c r="M117" s="94" t="s">
        <v>460</v>
      </c>
      <c r="N117" s="117">
        <v>10</v>
      </c>
      <c r="O117" s="118">
        <v>10</v>
      </c>
      <c r="P117" s="119">
        <v>0</v>
      </c>
      <c r="Q117" s="120">
        <v>0</v>
      </c>
      <c r="R117" s="120">
        <v>0</v>
      </c>
      <c r="S117" s="120">
        <v>0</v>
      </c>
      <c r="T117" s="120">
        <v>0</v>
      </c>
      <c r="U117" s="120">
        <v>0</v>
      </c>
      <c r="V117" s="120">
        <v>0</v>
      </c>
      <c r="W117" s="120">
        <v>0</v>
      </c>
      <c r="X117" s="119">
        <v>0</v>
      </c>
      <c r="Y117" s="121">
        <v>0</v>
      </c>
      <c r="Z117" s="122">
        <v>0</v>
      </c>
      <c r="AA117" s="119">
        <v>0</v>
      </c>
      <c r="AB117" s="134" t="s">
        <v>452</v>
      </c>
      <c r="AC117" s="134" t="s">
        <v>452</v>
      </c>
      <c r="AD117" s="137" t="s">
        <v>461</v>
      </c>
      <c r="AE117" s="137" t="s">
        <v>40</v>
      </c>
      <c r="AF117" s="114" t="s">
        <v>462</v>
      </c>
    </row>
    <row r="118" spans="1:32" s="114" customFormat="1" x14ac:dyDescent="0.25">
      <c r="A118" s="89" t="s">
        <v>452</v>
      </c>
      <c r="B118" s="89" t="s">
        <v>463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 t="s">
        <v>464</v>
      </c>
      <c r="L118" s="89" t="s">
        <v>465</v>
      </c>
      <c r="M118" s="94"/>
      <c r="N118" s="117">
        <v>24</v>
      </c>
      <c r="O118" s="118">
        <v>24</v>
      </c>
      <c r="P118" s="119">
        <v>0</v>
      </c>
      <c r="Q118" s="120">
        <v>0</v>
      </c>
      <c r="R118" s="120">
        <v>0</v>
      </c>
      <c r="S118" s="120">
        <v>0</v>
      </c>
      <c r="T118" s="120">
        <v>0</v>
      </c>
      <c r="U118" s="120">
        <v>0</v>
      </c>
      <c r="V118" s="120">
        <v>0</v>
      </c>
      <c r="W118" s="120">
        <v>0</v>
      </c>
      <c r="X118" s="119">
        <v>0</v>
      </c>
      <c r="Y118" s="121">
        <v>0</v>
      </c>
      <c r="Z118" s="122">
        <v>0</v>
      </c>
      <c r="AA118" s="119">
        <v>0</v>
      </c>
      <c r="AB118" s="134" t="s">
        <v>452</v>
      </c>
      <c r="AC118" s="134" t="s">
        <v>452</v>
      </c>
      <c r="AD118" s="137"/>
      <c r="AE118" s="137" t="s">
        <v>40</v>
      </c>
    </row>
    <row r="119" spans="1:32" s="114" customFormat="1" x14ac:dyDescent="0.25">
      <c r="A119" s="89" t="s">
        <v>452</v>
      </c>
      <c r="B119" s="89" t="s">
        <v>463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 t="s">
        <v>113</v>
      </c>
      <c r="L119" s="89" t="s">
        <v>466</v>
      </c>
      <c r="M119" s="94"/>
      <c r="N119" s="117">
        <v>60</v>
      </c>
      <c r="O119" s="118">
        <v>60</v>
      </c>
      <c r="P119" s="119">
        <v>0</v>
      </c>
      <c r="Q119" s="120">
        <v>0</v>
      </c>
      <c r="R119" s="120">
        <v>0</v>
      </c>
      <c r="S119" s="120">
        <v>0</v>
      </c>
      <c r="T119" s="120">
        <v>0</v>
      </c>
      <c r="U119" s="120">
        <v>0</v>
      </c>
      <c r="V119" s="120">
        <v>0</v>
      </c>
      <c r="W119" s="120">
        <v>0</v>
      </c>
      <c r="X119" s="119">
        <v>0</v>
      </c>
      <c r="Y119" s="121">
        <v>0</v>
      </c>
      <c r="Z119" s="122">
        <v>0</v>
      </c>
      <c r="AA119" s="119">
        <v>0</v>
      </c>
      <c r="AB119" s="134" t="s">
        <v>452</v>
      </c>
      <c r="AC119" s="134" t="s">
        <v>452</v>
      </c>
      <c r="AD119" s="137"/>
      <c r="AE119" s="137" t="s">
        <v>40</v>
      </c>
    </row>
    <row r="120" spans="1:32" s="114" customFormat="1" x14ac:dyDescent="0.25">
      <c r="A120" s="89" t="s">
        <v>452</v>
      </c>
      <c r="B120" s="89" t="s">
        <v>467</v>
      </c>
      <c r="C120" s="116">
        <v>0</v>
      </c>
      <c r="D120" s="116">
        <v>0</v>
      </c>
      <c r="E120" s="116">
        <v>0</v>
      </c>
      <c r="F120" s="116">
        <v>1</v>
      </c>
      <c r="G120" s="116">
        <v>0</v>
      </c>
      <c r="H120" s="116">
        <v>1</v>
      </c>
      <c r="I120" s="116">
        <v>0</v>
      </c>
      <c r="J120" s="116">
        <v>0</v>
      </c>
      <c r="K120" s="116" t="s">
        <v>468</v>
      </c>
      <c r="L120" s="89" t="s">
        <v>469</v>
      </c>
      <c r="M120" s="94" t="s">
        <v>470</v>
      </c>
      <c r="N120" s="117">
        <v>1</v>
      </c>
      <c r="O120" s="118">
        <v>1</v>
      </c>
      <c r="P120" s="119">
        <v>0</v>
      </c>
      <c r="Q120" s="120">
        <v>0</v>
      </c>
      <c r="R120" s="120">
        <v>0</v>
      </c>
      <c r="S120" s="120">
        <v>0</v>
      </c>
      <c r="T120" s="120">
        <v>0</v>
      </c>
      <c r="U120" s="120">
        <v>0</v>
      </c>
      <c r="V120" s="120">
        <v>0</v>
      </c>
      <c r="W120" s="120">
        <v>0</v>
      </c>
      <c r="X120" s="119">
        <v>0</v>
      </c>
      <c r="Y120" s="121">
        <v>0</v>
      </c>
      <c r="Z120" s="122">
        <v>0</v>
      </c>
      <c r="AA120" s="119">
        <v>0</v>
      </c>
      <c r="AB120" s="134" t="s">
        <v>452</v>
      </c>
      <c r="AC120" s="134" t="s">
        <v>452</v>
      </c>
      <c r="AD120" s="137" t="s">
        <v>40</v>
      </c>
      <c r="AE120" s="137" t="s">
        <v>40</v>
      </c>
    </row>
    <row r="121" spans="1:32" s="114" customFormat="1" x14ac:dyDescent="0.25">
      <c r="A121" s="89" t="s">
        <v>452</v>
      </c>
      <c r="B121" s="89" t="s">
        <v>471</v>
      </c>
      <c r="C121" s="116">
        <v>0</v>
      </c>
      <c r="D121" s="116">
        <v>0</v>
      </c>
      <c r="E121" s="116">
        <v>0</v>
      </c>
      <c r="F121" s="116">
        <v>2</v>
      </c>
      <c r="G121" s="116">
        <v>0</v>
      </c>
      <c r="H121" s="116">
        <v>0</v>
      </c>
      <c r="I121" s="116">
        <v>0</v>
      </c>
      <c r="J121" s="116">
        <v>0</v>
      </c>
      <c r="K121" s="116" t="s">
        <v>472</v>
      </c>
      <c r="L121" s="89" t="s">
        <v>473</v>
      </c>
      <c r="M121" s="94" t="s">
        <v>474</v>
      </c>
      <c r="N121" s="117">
        <v>2</v>
      </c>
      <c r="O121" s="118">
        <v>2</v>
      </c>
      <c r="P121" s="119">
        <v>2</v>
      </c>
      <c r="Q121" s="120">
        <v>0</v>
      </c>
      <c r="R121" s="120">
        <v>0</v>
      </c>
      <c r="S121" s="120">
        <v>0</v>
      </c>
      <c r="T121" s="120">
        <v>0</v>
      </c>
      <c r="U121" s="120">
        <v>0</v>
      </c>
      <c r="V121" s="120">
        <v>0</v>
      </c>
      <c r="W121" s="120">
        <v>0</v>
      </c>
      <c r="X121" s="119">
        <v>0</v>
      </c>
      <c r="Y121" s="121">
        <v>0</v>
      </c>
      <c r="Z121" s="122">
        <v>0</v>
      </c>
      <c r="AA121" s="119">
        <v>0</v>
      </c>
      <c r="AB121" s="134" t="s">
        <v>452</v>
      </c>
      <c r="AC121" s="134" t="s">
        <v>452</v>
      </c>
      <c r="AD121" s="137" t="s">
        <v>461</v>
      </c>
      <c r="AE121" s="137" t="s">
        <v>40</v>
      </c>
      <c r="AF121" s="114" t="s">
        <v>462</v>
      </c>
    </row>
    <row r="122" spans="1:32" s="114" customFormat="1" x14ac:dyDescent="0.25">
      <c r="A122" s="89" t="s">
        <v>452</v>
      </c>
      <c r="B122" s="89" t="s">
        <v>475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10</v>
      </c>
      <c r="J122" s="116">
        <v>0</v>
      </c>
      <c r="K122" s="116" t="s">
        <v>476</v>
      </c>
      <c r="L122" s="89" t="s">
        <v>477</v>
      </c>
      <c r="M122" s="94" t="s">
        <v>478</v>
      </c>
      <c r="N122" s="117">
        <v>10</v>
      </c>
      <c r="O122" s="118">
        <v>10</v>
      </c>
      <c r="P122" s="119">
        <v>0</v>
      </c>
      <c r="Q122" s="120">
        <v>0</v>
      </c>
      <c r="R122" s="120">
        <v>0</v>
      </c>
      <c r="S122" s="120">
        <v>0</v>
      </c>
      <c r="T122" s="120">
        <v>0</v>
      </c>
      <c r="U122" s="120">
        <v>0</v>
      </c>
      <c r="V122" s="120">
        <v>0</v>
      </c>
      <c r="W122" s="120">
        <v>0</v>
      </c>
      <c r="X122" s="119">
        <v>0</v>
      </c>
      <c r="Y122" s="121">
        <v>0</v>
      </c>
      <c r="Z122" s="122">
        <v>0</v>
      </c>
      <c r="AA122" s="119">
        <v>0</v>
      </c>
      <c r="AB122" s="134" t="s">
        <v>452</v>
      </c>
      <c r="AC122" s="134" t="s">
        <v>452</v>
      </c>
      <c r="AD122" s="137" t="s">
        <v>40</v>
      </c>
      <c r="AE122" s="137" t="s">
        <v>40</v>
      </c>
    </row>
    <row r="123" spans="1:32" s="114" customFormat="1" x14ac:dyDescent="0.25">
      <c r="A123" s="89" t="s">
        <v>452</v>
      </c>
      <c r="B123" s="89" t="s">
        <v>479</v>
      </c>
      <c r="C123" s="116">
        <v>0</v>
      </c>
      <c r="D123" s="116">
        <v>0</v>
      </c>
      <c r="E123" s="116">
        <v>0</v>
      </c>
      <c r="F123" s="116">
        <v>1</v>
      </c>
      <c r="G123" s="116">
        <v>0</v>
      </c>
      <c r="H123" s="116">
        <v>0</v>
      </c>
      <c r="I123" s="116">
        <v>0</v>
      </c>
      <c r="J123" s="116">
        <v>0</v>
      </c>
      <c r="K123" s="116" t="s">
        <v>480</v>
      </c>
      <c r="L123" s="89" t="s">
        <v>481</v>
      </c>
      <c r="M123" s="94" t="s">
        <v>482</v>
      </c>
      <c r="N123" s="117">
        <v>1</v>
      </c>
      <c r="O123" s="118">
        <v>1</v>
      </c>
      <c r="P123" s="119">
        <v>0</v>
      </c>
      <c r="Q123" s="120">
        <v>0</v>
      </c>
      <c r="R123" s="120">
        <v>0</v>
      </c>
      <c r="S123" s="120">
        <v>0</v>
      </c>
      <c r="T123" s="120">
        <v>0</v>
      </c>
      <c r="U123" s="120">
        <v>0</v>
      </c>
      <c r="V123" s="120">
        <v>0</v>
      </c>
      <c r="W123" s="120">
        <v>0</v>
      </c>
      <c r="X123" s="119">
        <v>0</v>
      </c>
      <c r="Y123" s="121">
        <v>0</v>
      </c>
      <c r="Z123" s="122">
        <v>0</v>
      </c>
      <c r="AA123" s="119">
        <v>0</v>
      </c>
      <c r="AB123" s="134" t="s">
        <v>452</v>
      </c>
      <c r="AC123" s="134" t="s">
        <v>452</v>
      </c>
      <c r="AD123" s="137" t="s">
        <v>483</v>
      </c>
      <c r="AE123" s="137"/>
    </row>
    <row r="124" spans="1:32" s="114" customFormat="1" x14ac:dyDescent="0.25">
      <c r="A124" s="89" t="s">
        <v>452</v>
      </c>
      <c r="B124" s="89"/>
      <c r="C124" s="116">
        <v>0</v>
      </c>
      <c r="D124" s="116">
        <v>0</v>
      </c>
      <c r="E124" s="116">
        <v>0</v>
      </c>
      <c r="F124" s="116">
        <v>1</v>
      </c>
      <c r="G124" s="116">
        <v>0</v>
      </c>
      <c r="H124" s="116">
        <v>0</v>
      </c>
      <c r="I124" s="116">
        <v>0</v>
      </c>
      <c r="J124" s="116">
        <v>0</v>
      </c>
      <c r="K124" s="116" t="s">
        <v>480</v>
      </c>
      <c r="L124" s="89"/>
      <c r="M124" s="94"/>
      <c r="N124" s="117">
        <v>1</v>
      </c>
      <c r="O124" s="118">
        <v>1</v>
      </c>
      <c r="P124" s="119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X124" s="119">
        <v>0</v>
      </c>
      <c r="Y124" s="121">
        <v>0</v>
      </c>
      <c r="Z124" s="122">
        <v>0</v>
      </c>
      <c r="AA124" s="119">
        <v>0</v>
      </c>
      <c r="AB124" s="134" t="s">
        <v>452</v>
      </c>
      <c r="AC124" s="134" t="s">
        <v>452</v>
      </c>
      <c r="AD124" s="137" t="s">
        <v>483</v>
      </c>
      <c r="AE124" s="137"/>
    </row>
    <row r="125" spans="1:32" s="114" customFormat="1" x14ac:dyDescent="0.25">
      <c r="A125" s="89" t="s">
        <v>452</v>
      </c>
      <c r="B125" s="89" t="s">
        <v>484</v>
      </c>
      <c r="C125" s="116">
        <v>1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 t="s">
        <v>198</v>
      </c>
      <c r="L125" s="89" t="s">
        <v>485</v>
      </c>
      <c r="M125" s="94" t="s">
        <v>486</v>
      </c>
      <c r="N125" s="117">
        <v>1</v>
      </c>
      <c r="O125" s="118">
        <v>1</v>
      </c>
      <c r="P125" s="119">
        <v>0</v>
      </c>
      <c r="Q125" s="120">
        <v>0</v>
      </c>
      <c r="R125" s="120">
        <v>0</v>
      </c>
      <c r="S125" s="120">
        <v>0</v>
      </c>
      <c r="T125" s="120">
        <v>0</v>
      </c>
      <c r="U125" s="120">
        <v>0</v>
      </c>
      <c r="V125" s="120">
        <v>0</v>
      </c>
      <c r="W125" s="120">
        <v>0</v>
      </c>
      <c r="X125" s="119">
        <v>0</v>
      </c>
      <c r="Y125" s="121">
        <v>0</v>
      </c>
      <c r="Z125" s="122">
        <v>0</v>
      </c>
      <c r="AA125" s="119">
        <v>0</v>
      </c>
      <c r="AB125" s="134" t="s">
        <v>452</v>
      </c>
      <c r="AC125" s="134" t="s">
        <v>452</v>
      </c>
      <c r="AD125" s="137"/>
      <c r="AE125" s="137"/>
      <c r="AF125" s="114" t="s">
        <v>487</v>
      </c>
    </row>
    <row r="126" spans="1:32" s="114" customFormat="1" x14ac:dyDescent="0.25">
      <c r="A126" s="89" t="s">
        <v>452</v>
      </c>
      <c r="B126" s="89" t="s">
        <v>488</v>
      </c>
      <c r="C126" s="116">
        <v>1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 t="s">
        <v>198</v>
      </c>
      <c r="L126" s="89" t="s">
        <v>485</v>
      </c>
      <c r="M126" s="94" t="s">
        <v>489</v>
      </c>
      <c r="N126" s="117">
        <v>1</v>
      </c>
      <c r="O126" s="118">
        <v>1</v>
      </c>
      <c r="P126" s="119">
        <v>0</v>
      </c>
      <c r="Q126" s="120">
        <v>0</v>
      </c>
      <c r="R126" s="120">
        <v>0</v>
      </c>
      <c r="S126" s="120">
        <v>0</v>
      </c>
      <c r="T126" s="120">
        <v>0</v>
      </c>
      <c r="U126" s="120">
        <v>0</v>
      </c>
      <c r="V126" s="120">
        <v>0</v>
      </c>
      <c r="W126" s="120">
        <v>0</v>
      </c>
      <c r="X126" s="119">
        <v>0</v>
      </c>
      <c r="Y126" s="121">
        <v>0</v>
      </c>
      <c r="Z126" s="122">
        <v>0</v>
      </c>
      <c r="AA126" s="119">
        <v>0</v>
      </c>
      <c r="AB126" s="134" t="s">
        <v>452</v>
      </c>
      <c r="AC126" s="134" t="s">
        <v>452</v>
      </c>
      <c r="AD126" s="137"/>
      <c r="AE126" s="137"/>
      <c r="AF126" s="114" t="s">
        <v>487</v>
      </c>
    </row>
    <row r="127" spans="1:32" s="114" customFormat="1" x14ac:dyDescent="0.25">
      <c r="A127" s="89"/>
      <c r="B127" s="89"/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/>
      <c r="L127" s="89"/>
      <c r="M127" s="94"/>
      <c r="N127" s="117"/>
      <c r="O127" s="118"/>
      <c r="P127" s="119">
        <v>0</v>
      </c>
      <c r="Q127" s="120">
        <v>0</v>
      </c>
      <c r="R127" s="120">
        <v>0</v>
      </c>
      <c r="S127" s="120">
        <v>0</v>
      </c>
      <c r="T127" s="120">
        <v>0</v>
      </c>
      <c r="U127" s="120">
        <v>0</v>
      </c>
      <c r="V127" s="120">
        <v>0</v>
      </c>
      <c r="W127" s="120">
        <v>0</v>
      </c>
      <c r="X127" s="119">
        <v>0</v>
      </c>
      <c r="Y127" s="121">
        <v>0</v>
      </c>
      <c r="Z127" s="122">
        <v>0</v>
      </c>
      <c r="AA127" s="119">
        <v>0</v>
      </c>
      <c r="AB127" s="134"/>
      <c r="AC127" s="134"/>
      <c r="AD127" s="137"/>
      <c r="AE127" s="137"/>
    </row>
    <row r="128" spans="1:32" s="114" customFormat="1" x14ac:dyDescent="0.25">
      <c r="A128" s="89"/>
      <c r="B128" s="89"/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/>
      <c r="L128" s="89"/>
      <c r="M128" s="94"/>
      <c r="N128" s="117"/>
      <c r="O128" s="118"/>
      <c r="P128" s="119">
        <v>0</v>
      </c>
      <c r="Q128" s="120">
        <v>0</v>
      </c>
      <c r="R128" s="120">
        <v>0</v>
      </c>
      <c r="S128" s="120">
        <v>0</v>
      </c>
      <c r="T128" s="120">
        <v>0</v>
      </c>
      <c r="U128" s="120">
        <v>0</v>
      </c>
      <c r="V128" s="120">
        <v>0</v>
      </c>
      <c r="W128" s="120">
        <v>0</v>
      </c>
      <c r="X128" s="119">
        <v>0</v>
      </c>
      <c r="Y128" s="121">
        <v>0</v>
      </c>
      <c r="Z128" s="122">
        <v>0</v>
      </c>
      <c r="AA128" s="119">
        <v>0</v>
      </c>
      <c r="AB128" s="134"/>
      <c r="AC128" s="134"/>
      <c r="AD128" s="137"/>
      <c r="AE128" s="137"/>
    </row>
    <row r="129" spans="1:31" s="114" customFormat="1" x14ac:dyDescent="0.25">
      <c r="A129" s="89"/>
      <c r="B129" s="89"/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/>
      <c r="L129" s="89"/>
      <c r="M129" s="94"/>
      <c r="N129" s="117"/>
      <c r="O129" s="118"/>
      <c r="P129" s="119">
        <v>0</v>
      </c>
      <c r="Q129" s="120">
        <v>0</v>
      </c>
      <c r="R129" s="120">
        <v>0</v>
      </c>
      <c r="S129" s="120">
        <v>0</v>
      </c>
      <c r="T129" s="120">
        <v>0</v>
      </c>
      <c r="U129" s="120">
        <v>0</v>
      </c>
      <c r="V129" s="120">
        <v>0</v>
      </c>
      <c r="W129" s="120">
        <v>0</v>
      </c>
      <c r="X129" s="119">
        <v>0</v>
      </c>
      <c r="Y129" s="121">
        <v>0</v>
      </c>
      <c r="Z129" s="122">
        <v>0</v>
      </c>
      <c r="AA129" s="119">
        <v>0</v>
      </c>
      <c r="AB129" s="134"/>
      <c r="AC129" s="134"/>
      <c r="AD129" s="137"/>
      <c r="AE129" s="137"/>
    </row>
    <row r="130" spans="1:31" s="114" customFormat="1" x14ac:dyDescent="0.25">
      <c r="A130" s="89"/>
      <c r="B130" s="89"/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/>
      <c r="L130" s="89"/>
      <c r="M130" s="94"/>
      <c r="N130" s="117"/>
      <c r="O130" s="118"/>
      <c r="P130" s="119">
        <v>0</v>
      </c>
      <c r="Q130" s="120">
        <v>0</v>
      </c>
      <c r="R130" s="120">
        <v>0</v>
      </c>
      <c r="S130" s="120">
        <v>0</v>
      </c>
      <c r="T130" s="120">
        <v>0</v>
      </c>
      <c r="U130" s="120">
        <v>0</v>
      </c>
      <c r="V130" s="120">
        <v>0</v>
      </c>
      <c r="W130" s="120">
        <v>0</v>
      </c>
      <c r="X130" s="119">
        <v>0</v>
      </c>
      <c r="Y130" s="121">
        <v>0</v>
      </c>
      <c r="Z130" s="122">
        <v>0</v>
      </c>
      <c r="AA130" s="119">
        <v>0</v>
      </c>
      <c r="AB130" s="134"/>
      <c r="AC130" s="134"/>
      <c r="AD130" s="137"/>
      <c r="AE130" s="137"/>
    </row>
    <row r="131" spans="1:31" s="114" customFormat="1" x14ac:dyDescent="0.25">
      <c r="A131" s="89"/>
      <c r="B131" s="89"/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/>
      <c r="L131" s="89"/>
      <c r="M131" s="94"/>
      <c r="N131" s="117"/>
      <c r="O131" s="118"/>
      <c r="P131" s="119">
        <v>0</v>
      </c>
      <c r="Q131" s="120">
        <v>0</v>
      </c>
      <c r="R131" s="120">
        <v>0</v>
      </c>
      <c r="S131" s="120">
        <v>0</v>
      </c>
      <c r="T131" s="120">
        <v>0</v>
      </c>
      <c r="U131" s="120">
        <v>0</v>
      </c>
      <c r="V131" s="120">
        <v>0</v>
      </c>
      <c r="W131" s="120">
        <v>0</v>
      </c>
      <c r="X131" s="119">
        <v>0</v>
      </c>
      <c r="Y131" s="121">
        <v>0</v>
      </c>
      <c r="Z131" s="122">
        <v>0</v>
      </c>
      <c r="AA131" s="119">
        <v>0</v>
      </c>
      <c r="AB131" s="134"/>
      <c r="AC131" s="134"/>
      <c r="AD131" s="137"/>
      <c r="AE131" s="137"/>
    </row>
    <row r="132" spans="1:31" s="114" customFormat="1" x14ac:dyDescent="0.25">
      <c r="A132" s="89"/>
      <c r="B132" s="89"/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/>
      <c r="L132" s="89"/>
      <c r="M132" s="94"/>
      <c r="N132" s="117"/>
      <c r="O132" s="118"/>
      <c r="P132" s="119">
        <v>0</v>
      </c>
      <c r="Q132" s="120">
        <v>0</v>
      </c>
      <c r="R132" s="120">
        <v>0</v>
      </c>
      <c r="S132" s="120">
        <v>0</v>
      </c>
      <c r="T132" s="120">
        <v>0</v>
      </c>
      <c r="U132" s="120">
        <v>0</v>
      </c>
      <c r="V132" s="120">
        <v>0</v>
      </c>
      <c r="W132" s="120">
        <v>0</v>
      </c>
      <c r="X132" s="119">
        <v>0</v>
      </c>
      <c r="Y132" s="121">
        <v>0</v>
      </c>
      <c r="Z132" s="122">
        <v>0</v>
      </c>
      <c r="AA132" s="119">
        <v>0</v>
      </c>
      <c r="AB132" s="134"/>
      <c r="AC132" s="134"/>
      <c r="AD132" s="137"/>
      <c r="AE132" s="137"/>
    </row>
    <row r="133" spans="1:31" s="114" customFormat="1" x14ac:dyDescent="0.25">
      <c r="A133" s="89"/>
      <c r="B133" s="89"/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/>
      <c r="L133" s="89"/>
      <c r="M133" s="94"/>
      <c r="N133" s="117"/>
      <c r="O133" s="118"/>
      <c r="P133" s="119">
        <v>0</v>
      </c>
      <c r="Q133" s="120">
        <v>0</v>
      </c>
      <c r="R133" s="120">
        <v>0</v>
      </c>
      <c r="S133" s="120">
        <v>0</v>
      </c>
      <c r="T133" s="120">
        <v>0</v>
      </c>
      <c r="U133" s="120">
        <v>0</v>
      </c>
      <c r="V133" s="120">
        <v>0</v>
      </c>
      <c r="W133" s="120">
        <v>0</v>
      </c>
      <c r="X133" s="119">
        <v>0</v>
      </c>
      <c r="Y133" s="121">
        <v>0</v>
      </c>
      <c r="Z133" s="122">
        <v>0</v>
      </c>
      <c r="AA133" s="119">
        <v>0</v>
      </c>
      <c r="AB133" s="134"/>
      <c r="AC133" s="134"/>
      <c r="AD133" s="137"/>
      <c r="AE133" s="137"/>
    </row>
    <row r="134" spans="1:31" s="114" customFormat="1" x14ac:dyDescent="0.25">
      <c r="A134" s="89"/>
      <c r="B134" s="89"/>
      <c r="C134" s="116">
        <v>0</v>
      </c>
      <c r="D134" s="116">
        <v>0</v>
      </c>
      <c r="E134" s="116">
        <v>0</v>
      </c>
      <c r="F134" s="116">
        <v>0</v>
      </c>
      <c r="G134" s="116">
        <v>0</v>
      </c>
      <c r="H134" s="116">
        <v>0</v>
      </c>
      <c r="I134" s="116">
        <v>0</v>
      </c>
      <c r="J134" s="116">
        <v>0</v>
      </c>
      <c r="K134" s="116"/>
      <c r="L134" s="89"/>
      <c r="M134" s="94"/>
      <c r="N134" s="117"/>
      <c r="O134" s="118"/>
      <c r="P134" s="119">
        <v>0</v>
      </c>
      <c r="Q134" s="120">
        <v>0</v>
      </c>
      <c r="R134" s="120">
        <v>0</v>
      </c>
      <c r="S134" s="120">
        <v>0</v>
      </c>
      <c r="T134" s="120">
        <v>0</v>
      </c>
      <c r="U134" s="120">
        <v>0</v>
      </c>
      <c r="V134" s="120">
        <v>0</v>
      </c>
      <c r="W134" s="120">
        <v>0</v>
      </c>
      <c r="X134" s="119">
        <v>0</v>
      </c>
      <c r="Y134" s="121">
        <v>0</v>
      </c>
      <c r="Z134" s="122">
        <v>0</v>
      </c>
      <c r="AA134" s="119">
        <v>0</v>
      </c>
      <c r="AB134" s="134"/>
      <c r="AC134" s="134"/>
      <c r="AD134" s="137"/>
      <c r="AE134" s="137"/>
    </row>
    <row r="135" spans="1:31" s="114" customFormat="1" x14ac:dyDescent="0.25">
      <c r="A135" s="89"/>
      <c r="B135" s="89"/>
      <c r="C135" s="116">
        <v>0</v>
      </c>
      <c r="D135" s="116">
        <v>0</v>
      </c>
      <c r="E135" s="116">
        <v>0</v>
      </c>
      <c r="F135" s="116">
        <v>0</v>
      </c>
      <c r="G135" s="116">
        <v>0</v>
      </c>
      <c r="H135" s="116">
        <v>0</v>
      </c>
      <c r="I135" s="116">
        <v>0</v>
      </c>
      <c r="J135" s="116">
        <v>0</v>
      </c>
      <c r="K135" s="116"/>
      <c r="L135" s="89"/>
      <c r="M135" s="94"/>
      <c r="N135" s="117"/>
      <c r="O135" s="118"/>
      <c r="P135" s="119">
        <v>0</v>
      </c>
      <c r="Q135" s="120">
        <v>0</v>
      </c>
      <c r="R135" s="120">
        <v>0</v>
      </c>
      <c r="S135" s="120">
        <v>0</v>
      </c>
      <c r="T135" s="120">
        <v>0</v>
      </c>
      <c r="U135" s="120">
        <v>0</v>
      </c>
      <c r="V135" s="120">
        <v>0</v>
      </c>
      <c r="W135" s="120">
        <v>0</v>
      </c>
      <c r="X135" s="119">
        <v>0</v>
      </c>
      <c r="Y135" s="121">
        <v>0</v>
      </c>
      <c r="Z135" s="122">
        <v>0</v>
      </c>
      <c r="AA135" s="119">
        <v>0</v>
      </c>
      <c r="AB135" s="134"/>
      <c r="AC135" s="134"/>
      <c r="AD135" s="137"/>
      <c r="AE135" s="137"/>
    </row>
    <row r="136" spans="1:31" s="114" customFormat="1" x14ac:dyDescent="0.25">
      <c r="A136" s="89"/>
      <c r="B136" s="89"/>
      <c r="C136" s="116">
        <v>0</v>
      </c>
      <c r="D136" s="116">
        <v>0</v>
      </c>
      <c r="E136" s="116">
        <v>0</v>
      </c>
      <c r="F136" s="116">
        <v>0</v>
      </c>
      <c r="G136" s="116">
        <v>0</v>
      </c>
      <c r="H136" s="116">
        <v>0</v>
      </c>
      <c r="I136" s="116">
        <v>0</v>
      </c>
      <c r="J136" s="116">
        <v>0</v>
      </c>
      <c r="K136" s="116"/>
      <c r="L136" s="89"/>
      <c r="M136" s="94"/>
      <c r="N136" s="117"/>
      <c r="O136" s="118"/>
      <c r="P136" s="119">
        <v>0</v>
      </c>
      <c r="Q136" s="120">
        <v>0</v>
      </c>
      <c r="R136" s="120">
        <v>0</v>
      </c>
      <c r="S136" s="120">
        <v>0</v>
      </c>
      <c r="T136" s="120">
        <v>0</v>
      </c>
      <c r="U136" s="120">
        <v>0</v>
      </c>
      <c r="V136" s="120">
        <v>0</v>
      </c>
      <c r="W136" s="120">
        <v>0</v>
      </c>
      <c r="X136" s="119">
        <v>0</v>
      </c>
      <c r="Y136" s="121">
        <v>0</v>
      </c>
      <c r="Z136" s="122">
        <v>0</v>
      </c>
      <c r="AA136" s="119">
        <v>0</v>
      </c>
      <c r="AB136" s="134"/>
      <c r="AC136" s="134"/>
      <c r="AD136" s="137"/>
      <c r="AE136" s="137"/>
    </row>
    <row r="137" spans="1:31" s="114" customFormat="1" x14ac:dyDescent="0.25">
      <c r="A137" s="89"/>
      <c r="B137" s="89"/>
      <c r="C137" s="116">
        <v>0</v>
      </c>
      <c r="D137" s="116">
        <v>0</v>
      </c>
      <c r="E137" s="116">
        <v>0</v>
      </c>
      <c r="F137" s="116">
        <v>0</v>
      </c>
      <c r="G137" s="116">
        <v>0</v>
      </c>
      <c r="H137" s="116">
        <v>0</v>
      </c>
      <c r="I137" s="116">
        <v>0</v>
      </c>
      <c r="J137" s="116">
        <v>0</v>
      </c>
      <c r="K137" s="116"/>
      <c r="L137" s="89"/>
      <c r="M137" s="94"/>
      <c r="N137" s="117"/>
      <c r="O137" s="118"/>
      <c r="P137" s="119">
        <v>0</v>
      </c>
      <c r="Q137" s="120">
        <v>0</v>
      </c>
      <c r="R137" s="120">
        <v>0</v>
      </c>
      <c r="S137" s="120">
        <v>0</v>
      </c>
      <c r="T137" s="120">
        <v>0</v>
      </c>
      <c r="U137" s="120">
        <v>0</v>
      </c>
      <c r="V137" s="120">
        <v>0</v>
      </c>
      <c r="W137" s="120">
        <v>0</v>
      </c>
      <c r="X137" s="119">
        <v>0</v>
      </c>
      <c r="Y137" s="121">
        <v>0</v>
      </c>
      <c r="Z137" s="122">
        <v>0</v>
      </c>
      <c r="AA137" s="119">
        <v>0</v>
      </c>
      <c r="AB137" s="134"/>
      <c r="AC137" s="134"/>
      <c r="AD137" s="137"/>
      <c r="AE137" s="137"/>
    </row>
    <row r="138" spans="1:31" s="114" customFormat="1" x14ac:dyDescent="0.25">
      <c r="A138" s="89"/>
      <c r="B138" s="89"/>
      <c r="C138" s="116">
        <v>0</v>
      </c>
      <c r="D138" s="116">
        <v>0</v>
      </c>
      <c r="E138" s="116">
        <v>0</v>
      </c>
      <c r="F138" s="116">
        <v>0</v>
      </c>
      <c r="G138" s="116">
        <v>0</v>
      </c>
      <c r="H138" s="116">
        <v>0</v>
      </c>
      <c r="I138" s="116">
        <v>0</v>
      </c>
      <c r="J138" s="116">
        <v>0</v>
      </c>
      <c r="K138" s="116"/>
      <c r="L138" s="89"/>
      <c r="M138" s="94"/>
      <c r="N138" s="117"/>
      <c r="O138" s="118"/>
      <c r="P138" s="119">
        <v>0</v>
      </c>
      <c r="Q138" s="120">
        <v>0</v>
      </c>
      <c r="R138" s="120">
        <v>0</v>
      </c>
      <c r="S138" s="120">
        <v>0</v>
      </c>
      <c r="T138" s="120">
        <v>0</v>
      </c>
      <c r="U138" s="120">
        <v>0</v>
      </c>
      <c r="V138" s="120">
        <v>0</v>
      </c>
      <c r="W138" s="120">
        <v>0</v>
      </c>
      <c r="X138" s="119">
        <v>0</v>
      </c>
      <c r="Y138" s="121">
        <v>0</v>
      </c>
      <c r="Z138" s="122">
        <v>0</v>
      </c>
      <c r="AA138" s="119">
        <v>0</v>
      </c>
      <c r="AB138" s="134"/>
      <c r="AC138" s="134"/>
      <c r="AD138" s="137"/>
      <c r="AE138" s="137"/>
    </row>
    <row r="139" spans="1:31" s="114" customFormat="1" x14ac:dyDescent="0.25">
      <c r="A139" s="89"/>
      <c r="B139" s="89"/>
      <c r="C139" s="116">
        <v>0</v>
      </c>
      <c r="D139" s="116">
        <v>0</v>
      </c>
      <c r="E139" s="116">
        <v>0</v>
      </c>
      <c r="F139" s="116">
        <v>0</v>
      </c>
      <c r="G139" s="116">
        <v>0</v>
      </c>
      <c r="H139" s="116">
        <v>0</v>
      </c>
      <c r="I139" s="116">
        <v>0</v>
      </c>
      <c r="J139" s="116">
        <v>0</v>
      </c>
      <c r="K139" s="116"/>
      <c r="L139" s="89"/>
      <c r="M139" s="94"/>
      <c r="N139" s="117"/>
      <c r="O139" s="118"/>
      <c r="P139" s="119">
        <v>0</v>
      </c>
      <c r="Q139" s="120">
        <v>0</v>
      </c>
      <c r="R139" s="120">
        <v>0</v>
      </c>
      <c r="S139" s="120">
        <v>0</v>
      </c>
      <c r="T139" s="120">
        <v>0</v>
      </c>
      <c r="U139" s="120">
        <v>0</v>
      </c>
      <c r="V139" s="120">
        <v>0</v>
      </c>
      <c r="W139" s="120">
        <v>0</v>
      </c>
      <c r="X139" s="119">
        <v>0</v>
      </c>
      <c r="Y139" s="121">
        <v>0</v>
      </c>
      <c r="Z139" s="122">
        <v>0</v>
      </c>
      <c r="AA139" s="119">
        <v>0</v>
      </c>
      <c r="AB139" s="134"/>
      <c r="AC139" s="134"/>
      <c r="AD139" s="137"/>
      <c r="AE139" s="137"/>
    </row>
    <row r="140" spans="1:31" s="114" customFormat="1" x14ac:dyDescent="0.25">
      <c r="A140" s="89"/>
      <c r="B140" s="89"/>
      <c r="C140" s="116">
        <v>0</v>
      </c>
      <c r="D140" s="116">
        <v>0</v>
      </c>
      <c r="E140" s="116">
        <v>0</v>
      </c>
      <c r="F140" s="116">
        <v>0</v>
      </c>
      <c r="G140" s="116">
        <v>0</v>
      </c>
      <c r="H140" s="116">
        <v>0</v>
      </c>
      <c r="I140" s="116">
        <v>0</v>
      </c>
      <c r="J140" s="116">
        <v>0</v>
      </c>
      <c r="K140" s="116"/>
      <c r="L140" s="89"/>
      <c r="M140" s="94"/>
      <c r="N140" s="117"/>
      <c r="O140" s="118"/>
      <c r="P140" s="119">
        <v>0</v>
      </c>
      <c r="Q140" s="120">
        <v>0</v>
      </c>
      <c r="R140" s="120">
        <v>0</v>
      </c>
      <c r="S140" s="120">
        <v>0</v>
      </c>
      <c r="T140" s="120">
        <v>0</v>
      </c>
      <c r="U140" s="120">
        <v>0</v>
      </c>
      <c r="V140" s="120">
        <v>0</v>
      </c>
      <c r="W140" s="120">
        <v>0</v>
      </c>
      <c r="X140" s="119">
        <v>0</v>
      </c>
      <c r="Y140" s="121">
        <v>0</v>
      </c>
      <c r="Z140" s="122">
        <v>0</v>
      </c>
      <c r="AA140" s="119">
        <v>0</v>
      </c>
      <c r="AB140" s="134"/>
      <c r="AC140" s="134"/>
      <c r="AD140" s="137"/>
      <c r="AE140" s="137"/>
    </row>
    <row r="141" spans="1:31" s="114" customFormat="1" x14ac:dyDescent="0.25">
      <c r="A141" s="89"/>
      <c r="B141" s="89"/>
      <c r="C141" s="116">
        <v>0</v>
      </c>
      <c r="D141" s="116">
        <v>0</v>
      </c>
      <c r="E141" s="116">
        <v>0</v>
      </c>
      <c r="F141" s="116">
        <v>0</v>
      </c>
      <c r="G141" s="116">
        <v>0</v>
      </c>
      <c r="H141" s="116">
        <v>0</v>
      </c>
      <c r="I141" s="116">
        <v>0</v>
      </c>
      <c r="J141" s="116">
        <v>0</v>
      </c>
      <c r="K141" s="116"/>
      <c r="L141" s="89"/>
      <c r="M141" s="94"/>
      <c r="N141" s="117"/>
      <c r="O141" s="118"/>
      <c r="P141" s="119">
        <v>0</v>
      </c>
      <c r="Q141" s="120">
        <v>0</v>
      </c>
      <c r="R141" s="120">
        <v>0</v>
      </c>
      <c r="S141" s="120">
        <v>0</v>
      </c>
      <c r="T141" s="120">
        <v>0</v>
      </c>
      <c r="U141" s="120">
        <v>0</v>
      </c>
      <c r="V141" s="120">
        <v>0</v>
      </c>
      <c r="W141" s="120">
        <v>0</v>
      </c>
      <c r="X141" s="119">
        <v>0</v>
      </c>
      <c r="Y141" s="121">
        <v>0</v>
      </c>
      <c r="Z141" s="122">
        <v>0</v>
      </c>
      <c r="AA141" s="119">
        <v>0</v>
      </c>
      <c r="AB141" s="134"/>
      <c r="AC141" s="134"/>
      <c r="AD141" s="137"/>
      <c r="AE141" s="137"/>
    </row>
    <row r="142" spans="1:31" s="114" customFormat="1" x14ac:dyDescent="0.25">
      <c r="A142" s="89"/>
      <c r="B142" s="89"/>
      <c r="C142" s="116">
        <v>0</v>
      </c>
      <c r="D142" s="116">
        <v>0</v>
      </c>
      <c r="E142" s="116">
        <v>0</v>
      </c>
      <c r="F142" s="116">
        <v>0</v>
      </c>
      <c r="G142" s="116">
        <v>0</v>
      </c>
      <c r="H142" s="116">
        <v>0</v>
      </c>
      <c r="I142" s="116">
        <v>0</v>
      </c>
      <c r="J142" s="116">
        <v>0</v>
      </c>
      <c r="K142" s="116"/>
      <c r="L142" s="89"/>
      <c r="M142" s="94"/>
      <c r="N142" s="117"/>
      <c r="O142" s="118"/>
      <c r="P142" s="119">
        <v>0</v>
      </c>
      <c r="Q142" s="120">
        <v>0</v>
      </c>
      <c r="R142" s="120">
        <v>0</v>
      </c>
      <c r="S142" s="120">
        <v>0</v>
      </c>
      <c r="T142" s="120">
        <v>0</v>
      </c>
      <c r="U142" s="120">
        <v>0</v>
      </c>
      <c r="V142" s="120">
        <v>0</v>
      </c>
      <c r="W142" s="120">
        <v>0</v>
      </c>
      <c r="X142" s="119">
        <v>0</v>
      </c>
      <c r="Y142" s="121">
        <v>0</v>
      </c>
      <c r="Z142" s="122">
        <v>0</v>
      </c>
      <c r="AA142" s="119">
        <v>0</v>
      </c>
      <c r="AB142" s="134"/>
      <c r="AC142" s="134"/>
      <c r="AD142" s="137"/>
      <c r="AE142" s="137"/>
    </row>
    <row r="143" spans="1:31" s="114" customFormat="1" x14ac:dyDescent="0.25">
      <c r="A143" s="89"/>
      <c r="B143" s="89"/>
      <c r="C143" s="116">
        <v>0</v>
      </c>
      <c r="D143" s="116">
        <v>0</v>
      </c>
      <c r="E143" s="116">
        <v>0</v>
      </c>
      <c r="F143" s="116">
        <v>0</v>
      </c>
      <c r="G143" s="116">
        <v>0</v>
      </c>
      <c r="H143" s="116">
        <v>0</v>
      </c>
      <c r="I143" s="116">
        <v>0</v>
      </c>
      <c r="J143" s="116">
        <v>0</v>
      </c>
      <c r="K143" s="116"/>
      <c r="L143" s="89"/>
      <c r="M143" s="94"/>
      <c r="N143" s="117"/>
      <c r="O143" s="118"/>
      <c r="P143" s="119">
        <v>0</v>
      </c>
      <c r="Q143" s="120">
        <v>0</v>
      </c>
      <c r="R143" s="120">
        <v>0</v>
      </c>
      <c r="S143" s="120">
        <v>0</v>
      </c>
      <c r="T143" s="120">
        <v>0</v>
      </c>
      <c r="U143" s="120">
        <v>0</v>
      </c>
      <c r="V143" s="120">
        <v>0</v>
      </c>
      <c r="W143" s="120">
        <v>0</v>
      </c>
      <c r="X143" s="119">
        <v>0</v>
      </c>
      <c r="Y143" s="121">
        <v>0</v>
      </c>
      <c r="Z143" s="122">
        <v>0</v>
      </c>
      <c r="AA143" s="119">
        <v>0</v>
      </c>
      <c r="AB143" s="134"/>
      <c r="AC143" s="134"/>
      <c r="AD143" s="137"/>
      <c r="AE143" s="137"/>
    </row>
    <row r="144" spans="1:31" s="114" customFormat="1" x14ac:dyDescent="0.25">
      <c r="A144" s="89"/>
      <c r="B144" s="89"/>
      <c r="C144" s="116">
        <v>0</v>
      </c>
      <c r="D144" s="116">
        <v>0</v>
      </c>
      <c r="E144" s="116">
        <v>0</v>
      </c>
      <c r="F144" s="116">
        <v>0</v>
      </c>
      <c r="G144" s="116">
        <v>0</v>
      </c>
      <c r="H144" s="116">
        <v>0</v>
      </c>
      <c r="I144" s="116">
        <v>0</v>
      </c>
      <c r="J144" s="116">
        <v>0</v>
      </c>
      <c r="K144" s="116"/>
      <c r="L144" s="89"/>
      <c r="M144" s="94"/>
      <c r="N144" s="117"/>
      <c r="O144" s="118"/>
      <c r="P144" s="119">
        <v>0</v>
      </c>
      <c r="Q144" s="120">
        <v>0</v>
      </c>
      <c r="R144" s="120">
        <v>0</v>
      </c>
      <c r="S144" s="120">
        <v>0</v>
      </c>
      <c r="T144" s="120">
        <v>0</v>
      </c>
      <c r="U144" s="120">
        <v>0</v>
      </c>
      <c r="V144" s="120">
        <v>0</v>
      </c>
      <c r="W144" s="120">
        <v>0</v>
      </c>
      <c r="X144" s="119">
        <v>0</v>
      </c>
      <c r="Y144" s="121">
        <v>0</v>
      </c>
      <c r="Z144" s="122">
        <v>0</v>
      </c>
      <c r="AA144" s="119">
        <v>0</v>
      </c>
      <c r="AB144" s="134"/>
      <c r="AC144" s="134"/>
      <c r="AD144" s="137"/>
      <c r="AE144" s="137"/>
    </row>
    <row r="145" spans="1:32" s="114" customFormat="1" x14ac:dyDescent="0.25">
      <c r="A145" s="89"/>
      <c r="B145" s="89"/>
      <c r="C145" s="116">
        <v>0</v>
      </c>
      <c r="D145" s="116">
        <v>0</v>
      </c>
      <c r="E145" s="116">
        <v>0</v>
      </c>
      <c r="F145" s="116">
        <v>0</v>
      </c>
      <c r="G145" s="116">
        <v>0</v>
      </c>
      <c r="H145" s="116">
        <v>0</v>
      </c>
      <c r="I145" s="116">
        <v>0</v>
      </c>
      <c r="J145" s="116">
        <v>0</v>
      </c>
      <c r="K145" s="116"/>
      <c r="L145" s="89"/>
      <c r="M145" s="94"/>
      <c r="N145" s="117"/>
      <c r="O145" s="118"/>
      <c r="P145" s="119">
        <v>0</v>
      </c>
      <c r="Q145" s="120">
        <v>0</v>
      </c>
      <c r="R145" s="120">
        <v>0</v>
      </c>
      <c r="S145" s="120">
        <v>0</v>
      </c>
      <c r="T145" s="120">
        <v>0</v>
      </c>
      <c r="U145" s="120">
        <v>0</v>
      </c>
      <c r="V145" s="120">
        <v>0</v>
      </c>
      <c r="W145" s="120">
        <v>0</v>
      </c>
      <c r="X145" s="119">
        <v>0</v>
      </c>
      <c r="Y145" s="121">
        <v>0</v>
      </c>
      <c r="Z145" s="122">
        <v>0</v>
      </c>
      <c r="AA145" s="119">
        <v>0</v>
      </c>
      <c r="AB145" s="134"/>
      <c r="AC145" s="134"/>
      <c r="AD145" s="137"/>
      <c r="AE145" s="137"/>
    </row>
    <row r="146" spans="1:32" s="114" customFormat="1" x14ac:dyDescent="0.25">
      <c r="A146" s="89"/>
      <c r="B146" s="89"/>
      <c r="C146" s="116">
        <v>0</v>
      </c>
      <c r="D146" s="116">
        <v>0</v>
      </c>
      <c r="E146" s="116">
        <v>0</v>
      </c>
      <c r="F146" s="116">
        <v>0</v>
      </c>
      <c r="G146" s="116">
        <v>0</v>
      </c>
      <c r="H146" s="116">
        <v>0</v>
      </c>
      <c r="I146" s="116">
        <v>0</v>
      </c>
      <c r="J146" s="116">
        <v>0</v>
      </c>
      <c r="K146" s="116"/>
      <c r="L146" s="89"/>
      <c r="M146" s="94"/>
      <c r="N146" s="117"/>
      <c r="O146" s="118"/>
      <c r="P146" s="119">
        <v>0</v>
      </c>
      <c r="Q146" s="120">
        <v>0</v>
      </c>
      <c r="R146" s="120">
        <v>0</v>
      </c>
      <c r="S146" s="120">
        <v>0</v>
      </c>
      <c r="T146" s="120">
        <v>0</v>
      </c>
      <c r="U146" s="120">
        <v>0</v>
      </c>
      <c r="V146" s="120">
        <v>0</v>
      </c>
      <c r="W146" s="120">
        <v>0</v>
      </c>
      <c r="X146" s="119">
        <v>0</v>
      </c>
      <c r="Y146" s="121">
        <v>0</v>
      </c>
      <c r="Z146" s="122">
        <v>0</v>
      </c>
      <c r="AA146" s="119">
        <v>0</v>
      </c>
      <c r="AB146" s="134"/>
      <c r="AC146" s="134"/>
      <c r="AD146" s="137"/>
      <c r="AE146" s="137"/>
    </row>
    <row r="147" spans="1:32" s="114" customFormat="1" x14ac:dyDescent="0.25">
      <c r="A147" s="89"/>
      <c r="B147" s="89"/>
      <c r="C147" s="116">
        <v>0</v>
      </c>
      <c r="D147" s="116">
        <v>0</v>
      </c>
      <c r="E147" s="116">
        <v>0</v>
      </c>
      <c r="F147" s="116">
        <v>0</v>
      </c>
      <c r="G147" s="116">
        <v>0</v>
      </c>
      <c r="H147" s="116">
        <v>0</v>
      </c>
      <c r="I147" s="116">
        <v>0</v>
      </c>
      <c r="J147" s="116">
        <v>0</v>
      </c>
      <c r="K147" s="116"/>
      <c r="L147" s="89"/>
      <c r="M147" s="94"/>
      <c r="N147" s="117"/>
      <c r="O147" s="118"/>
      <c r="P147" s="119">
        <v>0</v>
      </c>
      <c r="Q147" s="120">
        <v>0</v>
      </c>
      <c r="R147" s="120">
        <v>0</v>
      </c>
      <c r="S147" s="120">
        <v>0</v>
      </c>
      <c r="T147" s="120">
        <v>0</v>
      </c>
      <c r="U147" s="120">
        <v>0</v>
      </c>
      <c r="V147" s="120">
        <v>0</v>
      </c>
      <c r="W147" s="120">
        <v>0</v>
      </c>
      <c r="X147" s="119">
        <v>0</v>
      </c>
      <c r="Y147" s="121">
        <v>0</v>
      </c>
      <c r="Z147" s="122">
        <v>0</v>
      </c>
      <c r="AA147" s="119">
        <v>0</v>
      </c>
      <c r="AB147" s="134"/>
      <c r="AC147" s="134"/>
      <c r="AD147" s="137"/>
      <c r="AE147" s="137"/>
    </row>
    <row r="148" spans="1:32" s="114" customFormat="1" x14ac:dyDescent="0.25">
      <c r="A148" s="89"/>
      <c r="B148" s="89"/>
      <c r="C148" s="116">
        <v>0</v>
      </c>
      <c r="D148" s="116">
        <v>0</v>
      </c>
      <c r="E148" s="116">
        <v>0</v>
      </c>
      <c r="F148" s="116">
        <v>0</v>
      </c>
      <c r="G148" s="116">
        <v>0</v>
      </c>
      <c r="H148" s="116">
        <v>0</v>
      </c>
      <c r="I148" s="116">
        <v>0</v>
      </c>
      <c r="J148" s="116">
        <v>0</v>
      </c>
      <c r="K148" s="116"/>
      <c r="L148" s="89"/>
      <c r="M148" s="94"/>
      <c r="N148" s="117"/>
      <c r="O148" s="118"/>
      <c r="P148" s="119">
        <v>0</v>
      </c>
      <c r="Q148" s="120">
        <v>0</v>
      </c>
      <c r="R148" s="120">
        <v>0</v>
      </c>
      <c r="S148" s="120">
        <v>0</v>
      </c>
      <c r="T148" s="120">
        <v>0</v>
      </c>
      <c r="U148" s="120">
        <v>0</v>
      </c>
      <c r="V148" s="120">
        <v>0</v>
      </c>
      <c r="W148" s="120">
        <v>0</v>
      </c>
      <c r="X148" s="119">
        <v>0</v>
      </c>
      <c r="Y148" s="121">
        <v>0</v>
      </c>
      <c r="Z148" s="122">
        <v>0</v>
      </c>
      <c r="AA148" s="119">
        <v>0</v>
      </c>
      <c r="AB148" s="134"/>
      <c r="AC148" s="134"/>
      <c r="AD148" s="137"/>
      <c r="AE148" s="137"/>
    </row>
    <row r="149" spans="1:32" s="114" customFormat="1" x14ac:dyDescent="0.25">
      <c r="A149" s="89"/>
      <c r="B149" s="89"/>
      <c r="C149" s="116">
        <v>0</v>
      </c>
      <c r="D149" s="116">
        <v>0</v>
      </c>
      <c r="E149" s="116">
        <v>0</v>
      </c>
      <c r="F149" s="116">
        <v>0</v>
      </c>
      <c r="G149" s="116">
        <v>0</v>
      </c>
      <c r="H149" s="116">
        <v>0</v>
      </c>
      <c r="I149" s="116">
        <v>0</v>
      </c>
      <c r="J149" s="116">
        <v>0</v>
      </c>
      <c r="K149" s="116"/>
      <c r="L149" s="89"/>
      <c r="M149" s="94"/>
      <c r="N149" s="117"/>
      <c r="O149" s="118"/>
      <c r="P149" s="119">
        <v>0</v>
      </c>
      <c r="Q149" s="120">
        <v>0</v>
      </c>
      <c r="R149" s="120">
        <v>0</v>
      </c>
      <c r="S149" s="120">
        <v>0</v>
      </c>
      <c r="T149" s="120">
        <v>0</v>
      </c>
      <c r="U149" s="120">
        <v>0</v>
      </c>
      <c r="V149" s="120">
        <v>0</v>
      </c>
      <c r="W149" s="120">
        <v>0</v>
      </c>
      <c r="X149" s="119">
        <v>0</v>
      </c>
      <c r="Y149" s="121">
        <v>0</v>
      </c>
      <c r="Z149" s="122">
        <v>0</v>
      </c>
      <c r="AA149" s="119">
        <v>0</v>
      </c>
      <c r="AB149" s="134"/>
      <c r="AC149" s="134"/>
      <c r="AD149" s="137"/>
      <c r="AE149" s="137"/>
    </row>
    <row r="150" spans="1:32" s="114" customFormat="1" x14ac:dyDescent="0.25">
      <c r="A150" s="89"/>
      <c r="B150" s="89"/>
      <c r="C150" s="116">
        <v>0</v>
      </c>
      <c r="D150" s="116">
        <v>0</v>
      </c>
      <c r="E150" s="116">
        <v>0</v>
      </c>
      <c r="F150" s="116">
        <v>0</v>
      </c>
      <c r="G150" s="116">
        <v>0</v>
      </c>
      <c r="H150" s="116">
        <v>0</v>
      </c>
      <c r="I150" s="116">
        <v>0</v>
      </c>
      <c r="J150" s="116">
        <v>0</v>
      </c>
      <c r="K150" s="116"/>
      <c r="L150" s="89"/>
      <c r="M150" s="94"/>
      <c r="N150" s="117"/>
      <c r="O150" s="118"/>
      <c r="P150" s="119">
        <v>0</v>
      </c>
      <c r="Q150" s="120">
        <v>0</v>
      </c>
      <c r="R150" s="120">
        <v>0</v>
      </c>
      <c r="S150" s="120">
        <v>0</v>
      </c>
      <c r="T150" s="120">
        <v>0</v>
      </c>
      <c r="U150" s="120">
        <v>0</v>
      </c>
      <c r="V150" s="120">
        <v>0</v>
      </c>
      <c r="W150" s="120">
        <v>0</v>
      </c>
      <c r="X150" s="119">
        <v>0</v>
      </c>
      <c r="Y150" s="121">
        <v>0</v>
      </c>
      <c r="Z150" s="122">
        <v>0</v>
      </c>
      <c r="AA150" s="119">
        <v>0</v>
      </c>
      <c r="AB150" s="134"/>
      <c r="AC150" s="134"/>
      <c r="AD150" s="137"/>
      <c r="AE150" s="137"/>
    </row>
    <row r="151" spans="1:32" s="114" customFormat="1" x14ac:dyDescent="0.25">
      <c r="A151" s="89"/>
      <c r="B151" s="89"/>
      <c r="C151" s="116">
        <v>0</v>
      </c>
      <c r="D151" s="116">
        <v>0</v>
      </c>
      <c r="E151" s="116">
        <v>0</v>
      </c>
      <c r="F151" s="116">
        <v>0</v>
      </c>
      <c r="G151" s="116">
        <v>0</v>
      </c>
      <c r="H151" s="116">
        <v>0</v>
      </c>
      <c r="I151" s="116">
        <v>0</v>
      </c>
      <c r="J151" s="116">
        <v>0</v>
      </c>
      <c r="K151" s="116"/>
      <c r="L151" s="89"/>
      <c r="M151" s="94"/>
      <c r="N151" s="117"/>
      <c r="O151" s="118"/>
      <c r="P151" s="119">
        <v>0</v>
      </c>
      <c r="Q151" s="120">
        <v>0</v>
      </c>
      <c r="R151" s="120">
        <v>0</v>
      </c>
      <c r="S151" s="120">
        <v>0</v>
      </c>
      <c r="T151" s="120">
        <v>0</v>
      </c>
      <c r="U151" s="120">
        <v>0</v>
      </c>
      <c r="V151" s="120">
        <v>0</v>
      </c>
      <c r="W151" s="120">
        <v>0</v>
      </c>
      <c r="X151" s="119">
        <v>0</v>
      </c>
      <c r="Y151" s="121">
        <v>0</v>
      </c>
      <c r="Z151" s="122">
        <v>0</v>
      </c>
      <c r="AA151" s="119">
        <v>0</v>
      </c>
      <c r="AB151" s="134"/>
      <c r="AC151" s="134"/>
      <c r="AD151" s="137"/>
      <c r="AE151" s="137"/>
    </row>
    <row r="152" spans="1:32" s="114" customFormat="1" x14ac:dyDescent="0.25">
      <c r="A152" s="89"/>
      <c r="B152" s="89"/>
      <c r="C152" s="116">
        <v>0</v>
      </c>
      <c r="D152" s="116">
        <v>0</v>
      </c>
      <c r="E152" s="116">
        <v>0</v>
      </c>
      <c r="F152" s="116">
        <v>0</v>
      </c>
      <c r="G152" s="116">
        <v>0</v>
      </c>
      <c r="H152" s="116">
        <v>0</v>
      </c>
      <c r="I152" s="116">
        <v>0</v>
      </c>
      <c r="J152" s="116">
        <v>0</v>
      </c>
      <c r="K152" s="116"/>
      <c r="L152" s="89"/>
      <c r="M152" s="94"/>
      <c r="N152" s="117"/>
      <c r="O152" s="118"/>
      <c r="P152" s="119">
        <v>0</v>
      </c>
      <c r="Q152" s="120">
        <v>0</v>
      </c>
      <c r="R152" s="120">
        <v>0</v>
      </c>
      <c r="S152" s="120">
        <v>0</v>
      </c>
      <c r="T152" s="120">
        <v>0</v>
      </c>
      <c r="U152" s="120">
        <v>0</v>
      </c>
      <c r="V152" s="120">
        <v>0</v>
      </c>
      <c r="W152" s="120">
        <v>0</v>
      </c>
      <c r="X152" s="119">
        <v>0</v>
      </c>
      <c r="Y152" s="121">
        <v>0</v>
      </c>
      <c r="Z152" s="122">
        <v>0</v>
      </c>
      <c r="AA152" s="119">
        <v>0</v>
      </c>
      <c r="AB152" s="134"/>
      <c r="AC152" s="134"/>
      <c r="AD152" s="137"/>
      <c r="AE152" s="137"/>
    </row>
    <row r="153" spans="1:32" s="114" customFormat="1" x14ac:dyDescent="0.25">
      <c r="A153" s="89"/>
      <c r="B153" s="89"/>
      <c r="C153" s="116">
        <v>0</v>
      </c>
      <c r="D153" s="116">
        <v>0</v>
      </c>
      <c r="E153" s="116">
        <v>0</v>
      </c>
      <c r="F153" s="116">
        <v>0</v>
      </c>
      <c r="G153" s="116">
        <v>0</v>
      </c>
      <c r="H153" s="116">
        <v>0</v>
      </c>
      <c r="I153" s="116">
        <v>0</v>
      </c>
      <c r="J153" s="116">
        <v>0</v>
      </c>
      <c r="K153" s="116"/>
      <c r="L153" s="89"/>
      <c r="M153" s="94"/>
      <c r="N153" s="117"/>
      <c r="O153" s="118"/>
      <c r="P153" s="119">
        <v>0</v>
      </c>
      <c r="Q153" s="120">
        <v>0</v>
      </c>
      <c r="R153" s="120">
        <v>0</v>
      </c>
      <c r="S153" s="120">
        <v>0</v>
      </c>
      <c r="T153" s="120">
        <v>0</v>
      </c>
      <c r="U153" s="120">
        <v>0</v>
      </c>
      <c r="V153" s="120">
        <v>0</v>
      </c>
      <c r="W153" s="120">
        <v>0</v>
      </c>
      <c r="X153" s="119">
        <v>0</v>
      </c>
      <c r="Y153" s="121">
        <v>0</v>
      </c>
      <c r="Z153" s="122">
        <v>0</v>
      </c>
      <c r="AA153" s="119">
        <v>0</v>
      </c>
      <c r="AB153" s="134"/>
      <c r="AC153" s="134"/>
      <c r="AD153" s="137"/>
      <c r="AE153" s="137"/>
    </row>
    <row r="154" spans="1:32" x14ac:dyDescent="0.25">
      <c r="A154" s="93"/>
      <c r="C154" s="116">
        <v>0</v>
      </c>
      <c r="D154" s="116">
        <v>0</v>
      </c>
      <c r="E154" s="116">
        <v>0</v>
      </c>
      <c r="F154" s="116">
        <v>0</v>
      </c>
      <c r="G154" s="116">
        <v>0</v>
      </c>
      <c r="H154" s="116">
        <v>0</v>
      </c>
      <c r="I154" s="116">
        <v>0</v>
      </c>
      <c r="J154" s="116">
        <v>0</v>
      </c>
      <c r="K154" s="123"/>
      <c r="N154" s="124"/>
      <c r="O154" s="125"/>
      <c r="P154" s="119">
        <v>0</v>
      </c>
      <c r="Q154" s="120">
        <v>0</v>
      </c>
      <c r="R154" s="120">
        <v>0</v>
      </c>
      <c r="S154" s="120">
        <v>0</v>
      </c>
      <c r="T154" s="120">
        <v>0</v>
      </c>
      <c r="U154" s="120">
        <v>0</v>
      </c>
      <c r="V154" s="120">
        <v>0</v>
      </c>
      <c r="W154" s="120">
        <v>0</v>
      </c>
      <c r="X154" s="119">
        <v>0</v>
      </c>
      <c r="Y154" s="121">
        <v>0</v>
      </c>
      <c r="Z154" s="122">
        <v>0</v>
      </c>
      <c r="AA154" s="119">
        <v>0</v>
      </c>
      <c r="AB154" s="93"/>
      <c r="AC154" s="93"/>
    </row>
    <row r="155" spans="1:32" s="69" customFormat="1" x14ac:dyDescent="0.25">
      <c r="A155" s="89"/>
      <c r="B155" s="89"/>
      <c r="C155" s="116">
        <v>0</v>
      </c>
      <c r="D155" s="116">
        <v>0</v>
      </c>
      <c r="E155" s="116">
        <v>0</v>
      </c>
      <c r="F155" s="116">
        <v>0</v>
      </c>
      <c r="G155" s="116">
        <v>0</v>
      </c>
      <c r="H155" s="116">
        <v>0</v>
      </c>
      <c r="I155" s="116">
        <v>0</v>
      </c>
      <c r="J155" s="116">
        <v>0</v>
      </c>
      <c r="K155" s="116"/>
      <c r="L155" s="89"/>
      <c r="M155" s="94"/>
      <c r="N155" s="117"/>
      <c r="O155" s="118"/>
      <c r="P155" s="119">
        <v>0</v>
      </c>
      <c r="Q155" s="120">
        <v>0</v>
      </c>
      <c r="R155" s="120">
        <v>0</v>
      </c>
      <c r="S155" s="120">
        <v>0</v>
      </c>
      <c r="T155" s="120">
        <v>0</v>
      </c>
      <c r="U155" s="120">
        <v>0</v>
      </c>
      <c r="V155" s="120">
        <v>0</v>
      </c>
      <c r="W155" s="120">
        <v>0</v>
      </c>
      <c r="X155" s="119">
        <v>0</v>
      </c>
      <c r="Y155" s="121">
        <v>0</v>
      </c>
      <c r="Z155" s="122">
        <v>0</v>
      </c>
      <c r="AA155" s="119">
        <v>0</v>
      </c>
      <c r="AB155" s="93"/>
      <c r="AC155" s="93"/>
      <c r="AD155" s="136"/>
      <c r="AE155" s="136"/>
    </row>
    <row r="156" spans="1:32" s="69" customFormat="1" x14ac:dyDescent="0.25">
      <c r="A156" s="89"/>
      <c r="B156" s="89"/>
      <c r="C156" s="116">
        <v>0</v>
      </c>
      <c r="D156" s="116">
        <v>0</v>
      </c>
      <c r="E156" s="116">
        <v>0</v>
      </c>
      <c r="F156" s="116">
        <v>0</v>
      </c>
      <c r="G156" s="116">
        <v>0</v>
      </c>
      <c r="H156" s="116">
        <v>0</v>
      </c>
      <c r="I156" s="116">
        <v>0</v>
      </c>
      <c r="J156" s="116">
        <v>0</v>
      </c>
      <c r="K156" s="116"/>
      <c r="L156" s="89"/>
      <c r="M156" s="94"/>
      <c r="N156" s="117"/>
      <c r="O156" s="118"/>
      <c r="P156" s="119">
        <v>0</v>
      </c>
      <c r="Q156" s="120">
        <v>0</v>
      </c>
      <c r="R156" s="120">
        <v>0</v>
      </c>
      <c r="S156" s="120">
        <v>0</v>
      </c>
      <c r="T156" s="120">
        <v>0</v>
      </c>
      <c r="U156" s="120">
        <v>0</v>
      </c>
      <c r="V156" s="120">
        <v>0</v>
      </c>
      <c r="W156" s="120">
        <v>0</v>
      </c>
      <c r="X156" s="119">
        <v>0</v>
      </c>
      <c r="Y156" s="121">
        <v>0</v>
      </c>
      <c r="Z156" s="122">
        <v>0</v>
      </c>
      <c r="AA156" s="119">
        <v>0</v>
      </c>
      <c r="AB156" s="93"/>
      <c r="AC156" s="93"/>
      <c r="AD156" s="136"/>
      <c r="AE156" s="136"/>
    </row>
    <row r="157" spans="1:32" s="69" customFormat="1" x14ac:dyDescent="0.25">
      <c r="A157" s="89"/>
      <c r="B157" s="89"/>
      <c r="C157" s="116">
        <v>0</v>
      </c>
      <c r="D157" s="116">
        <v>0</v>
      </c>
      <c r="E157" s="116">
        <v>0</v>
      </c>
      <c r="F157" s="116">
        <v>0</v>
      </c>
      <c r="G157" s="116">
        <v>0</v>
      </c>
      <c r="H157" s="116">
        <v>0</v>
      </c>
      <c r="I157" s="116">
        <v>0</v>
      </c>
      <c r="J157" s="116">
        <v>0</v>
      </c>
      <c r="K157" s="116"/>
      <c r="L157" s="89"/>
      <c r="M157" s="94"/>
      <c r="N157" s="117"/>
      <c r="O157" s="118"/>
      <c r="P157" s="119">
        <v>0</v>
      </c>
      <c r="Q157" s="120">
        <v>0</v>
      </c>
      <c r="R157" s="120">
        <v>0</v>
      </c>
      <c r="S157" s="120">
        <v>0</v>
      </c>
      <c r="T157" s="120">
        <v>0</v>
      </c>
      <c r="U157" s="120">
        <v>0</v>
      </c>
      <c r="V157" s="120">
        <v>0</v>
      </c>
      <c r="W157" s="120">
        <v>0</v>
      </c>
      <c r="X157" s="119">
        <v>0</v>
      </c>
      <c r="Y157" s="121">
        <v>0</v>
      </c>
      <c r="Z157" s="122">
        <v>0</v>
      </c>
      <c r="AA157" s="119">
        <v>0</v>
      </c>
      <c r="AB157" s="93"/>
      <c r="AC157" s="93"/>
      <c r="AD157" s="136"/>
      <c r="AE157" s="136"/>
    </row>
    <row r="158" spans="1:32" ht="21" x14ac:dyDescent="0.25">
      <c r="A158" s="73">
        <v>45420</v>
      </c>
      <c r="B158" s="73"/>
      <c r="C158" s="73">
        <f>SUM(C4:C153)</f>
        <v>23</v>
      </c>
      <c r="D158" s="73">
        <f t="shared" ref="D158:J158" si="0">SUM(D4:D153)</f>
        <v>2</v>
      </c>
      <c r="E158" s="73">
        <f t="shared" si="0"/>
        <v>5</v>
      </c>
      <c r="F158" s="73">
        <f t="shared" si="0"/>
        <v>123</v>
      </c>
      <c r="G158" s="73">
        <f t="shared" si="0"/>
        <v>19</v>
      </c>
      <c r="H158" s="73">
        <f t="shared" si="0"/>
        <v>3</v>
      </c>
      <c r="I158" s="73">
        <f t="shared" si="0"/>
        <v>54</v>
      </c>
      <c r="J158" s="73">
        <f t="shared" si="0"/>
        <v>0</v>
      </c>
      <c r="K158" s="73"/>
      <c r="L158" s="73"/>
      <c r="M158" s="94"/>
      <c r="N158" s="73">
        <f>SUM(N4:N153)</f>
        <v>315</v>
      </c>
      <c r="O158" s="71">
        <f>SUM(O4:O153)</f>
        <v>303</v>
      </c>
      <c r="P158" s="72">
        <f>SUM(P8:P153)</f>
        <v>13</v>
      </c>
      <c r="Q158" s="71">
        <f t="shared" ref="Q158:AA158" si="1">SUM(Q4:Q153)</f>
        <v>10</v>
      </c>
      <c r="R158" s="71">
        <f t="shared" si="1"/>
        <v>0</v>
      </c>
      <c r="S158" s="71">
        <f t="shared" si="1"/>
        <v>0</v>
      </c>
      <c r="T158" s="71">
        <f t="shared" si="1"/>
        <v>0</v>
      </c>
      <c r="U158" s="71">
        <f t="shared" si="1"/>
        <v>1</v>
      </c>
      <c r="V158" s="71">
        <f t="shared" si="1"/>
        <v>1</v>
      </c>
      <c r="W158" s="71">
        <f t="shared" si="1"/>
        <v>0</v>
      </c>
      <c r="X158" s="72">
        <f t="shared" si="1"/>
        <v>0</v>
      </c>
      <c r="Y158" s="71">
        <f t="shared" si="1"/>
        <v>8</v>
      </c>
      <c r="Z158" s="71">
        <f t="shared" si="1"/>
        <v>1</v>
      </c>
      <c r="AA158" s="72">
        <f t="shared" si="1"/>
        <v>0</v>
      </c>
      <c r="AB158" s="93"/>
    </row>
    <row r="159" spans="1:32" s="132" customFormat="1" ht="44.25" customHeight="1" x14ac:dyDescent="0.25">
      <c r="A159" s="126" t="s">
        <v>0</v>
      </c>
      <c r="B159" s="127" t="s">
        <v>1</v>
      </c>
      <c r="C159" s="128" t="s">
        <v>2</v>
      </c>
      <c r="D159" s="128" t="s">
        <v>3</v>
      </c>
      <c r="E159" s="128" t="s">
        <v>4</v>
      </c>
      <c r="F159" s="128" t="s">
        <v>5</v>
      </c>
      <c r="G159" s="128" t="s">
        <v>6</v>
      </c>
      <c r="H159" s="128" t="s">
        <v>7</v>
      </c>
      <c r="I159" s="129" t="s">
        <v>8</v>
      </c>
      <c r="J159" s="129" t="s">
        <v>9</v>
      </c>
      <c r="K159" s="126" t="s">
        <v>10</v>
      </c>
      <c r="L159" s="127" t="s">
        <v>11</v>
      </c>
      <c r="M159" s="127" t="s">
        <v>12</v>
      </c>
      <c r="N159" s="130" t="s">
        <v>13</v>
      </c>
      <c r="O159" s="131" t="s">
        <v>14</v>
      </c>
      <c r="P159" s="144" t="s">
        <v>15</v>
      </c>
      <c r="Q159" s="145" t="s">
        <v>16</v>
      </c>
      <c r="R159" s="145" t="s">
        <v>17</v>
      </c>
      <c r="S159" s="145" t="s">
        <v>18</v>
      </c>
      <c r="T159" s="146" t="s">
        <v>19</v>
      </c>
      <c r="U159" s="145" t="s">
        <v>20</v>
      </c>
      <c r="V159" s="145" t="s">
        <v>21</v>
      </c>
      <c r="W159" s="145" t="s">
        <v>22</v>
      </c>
      <c r="X159" s="144" t="s">
        <v>23</v>
      </c>
      <c r="Y159" s="147" t="s">
        <v>24</v>
      </c>
      <c r="Z159" s="148" t="s">
        <v>25</v>
      </c>
      <c r="AA159" s="144" t="s">
        <v>26</v>
      </c>
      <c r="AB159" s="126" t="s">
        <v>27</v>
      </c>
      <c r="AC159" s="126" t="s">
        <v>28</v>
      </c>
      <c r="AD159" s="126" t="s">
        <v>29</v>
      </c>
      <c r="AE159" s="130" t="s">
        <v>30</v>
      </c>
      <c r="AF159" s="132" t="s">
        <v>31</v>
      </c>
    </row>
  </sheetData>
  <sheetProtection selectLockedCells="1" selectUnlockedCells="1"/>
  <autoFilter ref="A3:AG154" xr:uid="{00000000-0009-0000-0000-000001000000}">
    <filterColumn colId="0">
      <customFilters>
        <customFilter operator="notEqual" val=" "/>
      </customFilters>
    </filterColumn>
    <sortState xmlns:xlrd2="http://schemas.microsoft.com/office/spreadsheetml/2017/richdata2" ref="A4:AE147">
      <sortCondition ref="A3:A147"/>
    </sortState>
  </autoFilter>
  <mergeCells count="1">
    <mergeCell ref="AF65:AF66"/>
  </mergeCells>
  <hyperlinks>
    <hyperlink ref="AG2" location="DASH!A1" display="DASH!A1" xr:uid="{00000000-0004-0000-0100-000000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P44"/>
  <sheetViews>
    <sheetView topLeftCell="H1" workbookViewId="0">
      <pane ySplit="1" topLeftCell="A2" activePane="bottomLeft" state="frozen"/>
      <selection pane="bottomLeft" activeCell="O24" sqref="O24"/>
    </sheetView>
  </sheetViews>
  <sheetFormatPr defaultRowHeight="15" x14ac:dyDescent="0.25"/>
  <cols>
    <col min="1" max="1" width="2.5703125" customWidth="1"/>
    <col min="2" max="2" width="12.42578125" customWidth="1"/>
    <col min="3" max="3" width="13.85546875" customWidth="1"/>
    <col min="4" max="4" width="13.5703125" customWidth="1"/>
    <col min="5" max="5" width="15.42578125" customWidth="1"/>
    <col min="6" max="6" width="13" customWidth="1"/>
    <col min="7" max="7" width="26.42578125" customWidth="1"/>
    <col min="8" max="8" width="17.42578125" customWidth="1"/>
    <col min="9" max="9" width="12.28515625" customWidth="1"/>
    <col min="10" max="10" width="11.42578125" customWidth="1"/>
    <col min="11" max="11" width="18.85546875" customWidth="1"/>
    <col min="12" max="12" width="12.140625" customWidth="1"/>
    <col min="13" max="13" width="12.42578125" customWidth="1"/>
    <col min="14" max="14" width="13.85546875" customWidth="1"/>
    <col min="16" max="16" width="14.28515625" customWidth="1"/>
  </cols>
  <sheetData>
    <row r="1" spans="1:16" ht="60" customHeight="1" x14ac:dyDescent="0.25">
      <c r="A1" s="205" t="s">
        <v>490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</row>
    <row r="2" spans="1:16" ht="18.75" x14ac:dyDescent="0.3">
      <c r="B2" s="5" t="str">
        <f>Lançamentos!O3</f>
        <v>Aprovado</v>
      </c>
      <c r="C2" s="5" t="str">
        <f>Lançamentos!P3</f>
        <v>Reprovado</v>
      </c>
      <c r="D2" s="4" t="str">
        <f>Lançamentos!Q3</f>
        <v>Usinagem</v>
      </c>
      <c r="E2" s="4" t="str">
        <f>Lançamentos!R3</f>
        <v>Inspeção</v>
      </c>
      <c r="F2" s="4" t="str">
        <f>Lançamentos!S3</f>
        <v>Desenho</v>
      </c>
      <c r="G2" s="4" t="str">
        <f>Lançamentos!T3</f>
        <v>Programação CNC</v>
      </c>
      <c r="H2" s="4" t="str">
        <f>Lançamentos!U3</f>
        <v>Produção</v>
      </c>
      <c r="I2" s="4" t="str">
        <f>Lançamentos!V3</f>
        <v>Comercial</v>
      </c>
      <c r="J2" s="4" t="str">
        <f>Lançamentos!W3</f>
        <v>PCP</v>
      </c>
      <c r="K2" s="2" t="str">
        <f>Lançamentos!Y3</f>
        <v>Retrabalho</v>
      </c>
      <c r="L2" s="2" t="str">
        <f>Lançamentos!AA3</f>
        <v>Morta usin.</v>
      </c>
      <c r="M2" s="2" t="str">
        <f>B2</f>
        <v>Aprovado</v>
      </c>
      <c r="N2" s="2" t="str">
        <f>C2</f>
        <v>Reprovado</v>
      </c>
      <c r="O2" s="3" t="str">
        <f>L2</f>
        <v>Morta usin.</v>
      </c>
      <c r="P2" s="3" t="str">
        <f>K2</f>
        <v>Retrabalho</v>
      </c>
    </row>
    <row r="3" spans="1:16" ht="18.75" x14ac:dyDescent="0.3">
      <c r="B3" s="5">
        <f>Lançamentos!O158</f>
        <v>303</v>
      </c>
      <c r="C3" s="5">
        <f>Lançamentos!P158</f>
        <v>13</v>
      </c>
      <c r="D3" s="4">
        <f>Lançamentos!Q158</f>
        <v>10</v>
      </c>
      <c r="E3" s="4">
        <f>Lançamentos!R158</f>
        <v>0</v>
      </c>
      <c r="F3" s="4">
        <f>Lançamentos!S158</f>
        <v>0</v>
      </c>
      <c r="G3" s="4">
        <f>Lançamentos!T158</f>
        <v>0</v>
      </c>
      <c r="H3" s="4">
        <f>Lançamentos!U158</f>
        <v>1</v>
      </c>
      <c r="I3" s="4">
        <f>Lançamentos!V158</f>
        <v>1</v>
      </c>
      <c r="J3" s="4">
        <f>Lançamentos!W158</f>
        <v>0</v>
      </c>
      <c r="K3" s="2">
        <f>Lançamentos!Y158</f>
        <v>8</v>
      </c>
      <c r="L3" s="2">
        <f>Lançamentos!AA158</f>
        <v>0</v>
      </c>
      <c r="M3" s="2">
        <f>B3</f>
        <v>303</v>
      </c>
      <c r="N3" s="2">
        <f>C3</f>
        <v>13</v>
      </c>
      <c r="O3" s="3">
        <f>L3</f>
        <v>0</v>
      </c>
      <c r="P3" s="3">
        <f>K3</f>
        <v>8</v>
      </c>
    </row>
    <row r="4" spans="1:16" x14ac:dyDescent="0.25">
      <c r="B4" s="1"/>
      <c r="C4" s="1"/>
      <c r="O4">
        <v>1</v>
      </c>
      <c r="P4">
        <v>2</v>
      </c>
    </row>
    <row r="5" spans="1:16" x14ac:dyDescent="0.25">
      <c r="B5" s="1"/>
      <c r="C5" s="1"/>
    </row>
    <row r="22" spans="2:16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 t="s">
        <v>491</v>
      </c>
      <c r="P22" s="7"/>
    </row>
    <row r="23" spans="2:16" x14ac:dyDescent="0.25">
      <c r="B23" s="6" t="e">
        <f>'PRODUTOS DE REFUGO'!#REF!</f>
        <v>#REF!</v>
      </c>
      <c r="C23" s="6" t="e">
        <f>'PRODUTOS DE REFUGO'!#REF!</f>
        <v>#REF!</v>
      </c>
      <c r="D23" s="6" t="e">
        <f>'PRODUTOS DE REFUGO'!#REF!</f>
        <v>#REF!</v>
      </c>
      <c r="F23" s="7"/>
      <c r="G23" t="s">
        <v>492</v>
      </c>
      <c r="I23" t="s">
        <v>493</v>
      </c>
      <c r="K23" s="7"/>
      <c r="L23" t="s">
        <v>494</v>
      </c>
      <c r="N23" s="7"/>
      <c r="O23" s="16">
        <f>F32</f>
        <v>0.96190476190476193</v>
      </c>
    </row>
    <row r="24" spans="2:16" x14ac:dyDescent="0.25">
      <c r="B24" s="6" t="e">
        <f>'PRODUTOS DE REFUGO'!#REF!</f>
        <v>#REF!</v>
      </c>
      <c r="C24" s="6" t="e">
        <f>'PRODUTOS DE REFUGO'!#REF!</f>
        <v>#REF!</v>
      </c>
      <c r="D24" s="6" t="e">
        <f>'PRODUTOS DE REFUGO'!#REF!</f>
        <v>#REF!</v>
      </c>
      <c r="F24" s="7"/>
      <c r="G24">
        <f>Lançamentos!N158</f>
        <v>315</v>
      </c>
      <c r="K24" s="7"/>
      <c r="L24" t="s">
        <v>495</v>
      </c>
      <c r="N24" s="7"/>
      <c r="O24" s="16">
        <f>F41</f>
        <v>0</v>
      </c>
    </row>
    <row r="25" spans="2:16" x14ac:dyDescent="0.25">
      <c r="F25" s="7"/>
      <c r="K25" s="7"/>
      <c r="L25" t="s">
        <v>496</v>
      </c>
      <c r="N25" s="7"/>
      <c r="O25" s="16">
        <f>F36</f>
        <v>2.5396825396825397E-2</v>
      </c>
    </row>
    <row r="26" spans="2:16" x14ac:dyDescent="0.25">
      <c r="F26" s="7"/>
      <c r="K26" s="7"/>
      <c r="L26" t="s">
        <v>497</v>
      </c>
      <c r="N26" s="7"/>
      <c r="O26" s="16">
        <f>F44</f>
        <v>0.98730158730158735</v>
      </c>
    </row>
    <row r="27" spans="2:16" x14ac:dyDescent="0.25">
      <c r="F27" s="7"/>
      <c r="K27" s="7"/>
      <c r="N27" s="7"/>
    </row>
    <row r="28" spans="2:16" x14ac:dyDescent="0.25">
      <c r="F28" s="7"/>
      <c r="K28" s="7"/>
      <c r="N28" s="7"/>
    </row>
    <row r="29" spans="2:16" x14ac:dyDescent="0.2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2:16" ht="15.75" thickBot="1" x14ac:dyDescent="0.3"/>
    <row r="31" spans="2:16" x14ac:dyDescent="0.25">
      <c r="B31" s="206"/>
      <c r="C31" s="206"/>
      <c r="F31" s="203" t="s">
        <v>498</v>
      </c>
      <c r="G31" s="204"/>
    </row>
    <row r="32" spans="2:16" ht="15.75" thickBot="1" x14ac:dyDescent="0.3">
      <c r="F32" s="32">
        <f>M3/Lançamentos!N158</f>
        <v>0.96190476190476193</v>
      </c>
      <c r="G32" s="14"/>
    </row>
    <row r="34" spans="2:7" ht="15.75" thickBot="1" x14ac:dyDescent="0.3"/>
    <row r="35" spans="2:7" ht="15.75" thickBot="1" x14ac:dyDescent="0.3">
      <c r="F35" s="207" t="s">
        <v>499</v>
      </c>
      <c r="G35" s="208"/>
    </row>
    <row r="36" spans="2:7" ht="15.75" thickBot="1" x14ac:dyDescent="0.3">
      <c r="F36" s="32">
        <f>K3/Lançamentos!N158</f>
        <v>2.5396825396825397E-2</v>
      </c>
      <c r="G36" s="14"/>
    </row>
    <row r="39" spans="2:7" ht="15.75" thickBot="1" x14ac:dyDescent="0.3"/>
    <row r="40" spans="2:7" x14ac:dyDescent="0.25">
      <c r="B40" s="206"/>
      <c r="C40" s="206"/>
      <c r="F40" s="203" t="s">
        <v>500</v>
      </c>
      <c r="G40" s="204"/>
    </row>
    <row r="41" spans="2:7" ht="15.75" thickBot="1" x14ac:dyDescent="0.3">
      <c r="F41" s="32">
        <f>L3/Lançamentos!N158</f>
        <v>0</v>
      </c>
      <c r="G41" s="14"/>
    </row>
    <row r="42" spans="2:7" ht="15.75" thickBot="1" x14ac:dyDescent="0.3"/>
    <row r="43" spans="2:7" x14ac:dyDescent="0.25">
      <c r="F43" s="203" t="s">
        <v>501</v>
      </c>
      <c r="G43" s="204"/>
    </row>
    <row r="44" spans="2:7" ht="15.75" thickBot="1" x14ac:dyDescent="0.3">
      <c r="F44" s="15">
        <f>SUM(F36+F32)</f>
        <v>0.98730158730158735</v>
      </c>
      <c r="G44" s="14"/>
    </row>
  </sheetData>
  <sheetProtection selectLockedCells="1" selectUnlockedCells="1"/>
  <mergeCells count="7">
    <mergeCell ref="F43:G43"/>
    <mergeCell ref="A1:P1"/>
    <mergeCell ref="B31:C31"/>
    <mergeCell ref="B40:C40"/>
    <mergeCell ref="F31:G31"/>
    <mergeCell ref="F35:G35"/>
    <mergeCell ref="F40:G40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AG53"/>
  <sheetViews>
    <sheetView zoomScale="70" zoomScaleNormal="70" workbookViewId="0">
      <pane ySplit="1" topLeftCell="A2" activePane="bottomLeft" state="frozen"/>
      <selection activeCell="V1" sqref="V1"/>
      <selection pane="bottomLeft" activeCell="L21" sqref="L21"/>
    </sheetView>
  </sheetViews>
  <sheetFormatPr defaultRowHeight="15" x14ac:dyDescent="0.25"/>
  <cols>
    <col min="1" max="1" width="16.28515625" style="63" customWidth="1"/>
    <col min="2" max="2" width="13" style="63" bestFit="1" customWidth="1"/>
    <col min="3" max="3" width="15.85546875" style="63" customWidth="1"/>
    <col min="4" max="4" width="9.42578125" style="63" customWidth="1"/>
    <col min="5" max="5" width="13.42578125" style="50" customWidth="1"/>
    <col min="6" max="6" width="14.28515625" style="50" customWidth="1"/>
    <col min="7" max="7" width="7.7109375" style="50" customWidth="1"/>
    <col min="8" max="8" width="9.28515625" style="50" customWidth="1"/>
    <col min="9" max="9" width="6.85546875" style="50" customWidth="1"/>
    <col min="10" max="10" width="7.5703125" style="50" customWidth="1"/>
    <col min="11" max="11" width="8.85546875" style="64" customWidth="1"/>
    <col min="12" max="12" width="11.42578125" style="64" customWidth="1"/>
    <col min="13" max="13" width="11.42578125" style="50" customWidth="1"/>
    <col min="14" max="14" width="14.5703125" style="50" customWidth="1"/>
    <col min="15" max="15" width="12.7109375" style="50" customWidth="1"/>
    <col min="16" max="16" width="11" style="50" customWidth="1"/>
    <col min="17" max="17" width="8.42578125" customWidth="1"/>
    <col min="18" max="18" width="8.28515625" customWidth="1"/>
    <col min="19" max="19" width="8.140625" customWidth="1"/>
    <col min="20" max="20" width="11.7109375" customWidth="1"/>
    <col min="21" max="21" width="8.5703125" customWidth="1"/>
    <col min="22" max="22" width="9.28515625" customWidth="1"/>
    <col min="23" max="23" width="6.42578125" customWidth="1"/>
    <col min="25" max="25" width="10.140625" customWidth="1"/>
    <col min="26" max="26" width="11.140625" customWidth="1"/>
    <col min="27" max="27" width="13.42578125" customWidth="1"/>
    <col min="28" max="28" width="10.140625" customWidth="1"/>
    <col min="29" max="29" width="9.5703125" customWidth="1"/>
    <col min="30" max="30" width="7.7109375" customWidth="1"/>
    <col min="31" max="31" width="10.7109375" customWidth="1"/>
    <col min="32" max="32" width="9.28515625" customWidth="1"/>
    <col min="33" max="33" width="215.85546875" bestFit="1" customWidth="1"/>
  </cols>
  <sheetData>
    <row r="1" spans="1:33" ht="60" customHeight="1" x14ac:dyDescent="0.25">
      <c r="A1" s="209" t="s">
        <v>32</v>
      </c>
      <c r="B1" s="209"/>
      <c r="C1" s="210" t="s">
        <v>502</v>
      </c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3" s="55" customFormat="1" ht="54" x14ac:dyDescent="0.25">
      <c r="A2" s="44" t="s">
        <v>0</v>
      </c>
      <c r="B2" s="44" t="s">
        <v>503</v>
      </c>
      <c r="C2" s="44" t="s">
        <v>10</v>
      </c>
      <c r="D2" s="44" t="s">
        <v>11</v>
      </c>
      <c r="E2" s="44" t="s">
        <v>12</v>
      </c>
      <c r="F2" s="44" t="s">
        <v>504</v>
      </c>
      <c r="G2" s="44" t="s">
        <v>505</v>
      </c>
      <c r="H2" s="44" t="s">
        <v>506</v>
      </c>
      <c r="I2" s="44" t="s">
        <v>8</v>
      </c>
      <c r="J2" s="44" t="s">
        <v>9</v>
      </c>
      <c r="K2" s="51" t="s">
        <v>507</v>
      </c>
      <c r="L2" s="51" t="s">
        <v>508</v>
      </c>
      <c r="M2" s="57" t="s">
        <v>509</v>
      </c>
      <c r="N2" s="57" t="s">
        <v>510</v>
      </c>
      <c r="O2" s="57" t="s">
        <v>511</v>
      </c>
      <c r="P2" s="58" t="s">
        <v>512</v>
      </c>
      <c r="Q2" s="59" t="s">
        <v>16</v>
      </c>
      <c r="R2" s="59" t="s">
        <v>17</v>
      </c>
      <c r="S2" s="59" t="s">
        <v>18</v>
      </c>
      <c r="T2" s="60" t="s">
        <v>19</v>
      </c>
      <c r="U2" s="59" t="s">
        <v>20</v>
      </c>
      <c r="V2" s="60" t="s">
        <v>513</v>
      </c>
      <c r="W2" s="59" t="s">
        <v>22</v>
      </c>
      <c r="X2" s="51" t="s">
        <v>514</v>
      </c>
      <c r="Y2" s="51" t="s">
        <v>515</v>
      </c>
      <c r="Z2" s="51" t="s">
        <v>516</v>
      </c>
      <c r="AA2" s="51" t="s">
        <v>517</v>
      </c>
      <c r="AB2" s="51" t="s">
        <v>518</v>
      </c>
      <c r="AC2" s="51" t="s">
        <v>519</v>
      </c>
      <c r="AD2" s="54" t="s">
        <v>520</v>
      </c>
      <c r="AE2" s="52" t="s">
        <v>521</v>
      </c>
      <c r="AF2" s="52" t="s">
        <v>522</v>
      </c>
      <c r="AG2" s="54" t="s">
        <v>31</v>
      </c>
    </row>
    <row r="3" spans="1:33" s="56" customFormat="1" ht="14.45" customHeight="1" x14ac:dyDescent="0.25">
      <c r="A3" s="95">
        <v>45601</v>
      </c>
      <c r="B3" s="89" t="s">
        <v>92</v>
      </c>
      <c r="C3" s="104" t="s">
        <v>93</v>
      </c>
      <c r="D3" s="105" t="s">
        <v>94</v>
      </c>
      <c r="E3" s="106" t="s">
        <v>95</v>
      </c>
      <c r="F3" s="17" t="s">
        <v>523</v>
      </c>
      <c r="G3" s="44"/>
      <c r="H3" s="44" t="s">
        <v>524</v>
      </c>
      <c r="I3" s="44"/>
      <c r="J3" s="44"/>
      <c r="K3" s="54">
        <v>2</v>
      </c>
      <c r="L3" s="54">
        <v>2</v>
      </c>
      <c r="M3" s="96">
        <v>1</v>
      </c>
      <c r="N3" s="96">
        <v>1</v>
      </c>
      <c r="O3" s="96">
        <v>0</v>
      </c>
      <c r="P3" s="96">
        <v>2</v>
      </c>
      <c r="Q3" s="97" t="s">
        <v>524</v>
      </c>
      <c r="R3" s="97"/>
      <c r="S3" s="97"/>
      <c r="T3" s="97"/>
      <c r="U3" s="98"/>
      <c r="V3" s="97"/>
      <c r="W3" s="97"/>
      <c r="X3" s="97" t="s">
        <v>524</v>
      </c>
      <c r="Y3" s="97"/>
      <c r="Z3" s="97"/>
      <c r="AA3" s="97"/>
      <c r="AB3" s="98"/>
      <c r="AC3" s="97"/>
      <c r="AD3" s="97"/>
      <c r="AE3" s="97"/>
      <c r="AF3" s="97"/>
      <c r="AG3" s="9" t="s">
        <v>96</v>
      </c>
    </row>
    <row r="4" spans="1:33" s="56" customFormat="1" x14ac:dyDescent="0.25">
      <c r="A4" s="95">
        <v>45602</v>
      </c>
      <c r="B4" s="105" t="s">
        <v>130</v>
      </c>
      <c r="C4" s="159" t="s">
        <v>131</v>
      </c>
      <c r="D4" s="105" t="s">
        <v>132</v>
      </c>
      <c r="E4" s="106" t="s">
        <v>133</v>
      </c>
      <c r="F4" s="17" t="s">
        <v>525</v>
      </c>
      <c r="G4" s="44"/>
      <c r="H4" s="44"/>
      <c r="I4" s="44" t="s">
        <v>524</v>
      </c>
      <c r="J4" s="44"/>
      <c r="K4" s="54">
        <v>3</v>
      </c>
      <c r="L4" s="54">
        <v>3</v>
      </c>
      <c r="M4" s="96">
        <v>1</v>
      </c>
      <c r="N4" s="96">
        <v>0</v>
      </c>
      <c r="O4" s="96">
        <v>1</v>
      </c>
      <c r="P4" s="96">
        <v>1</v>
      </c>
      <c r="Q4" s="97"/>
      <c r="R4" s="98"/>
      <c r="S4" s="97"/>
      <c r="T4" s="97"/>
      <c r="U4" s="97" t="s">
        <v>524</v>
      </c>
      <c r="V4" s="97"/>
      <c r="W4" s="97"/>
      <c r="X4" s="97" t="s">
        <v>524</v>
      </c>
      <c r="Y4" s="97"/>
      <c r="Z4" s="97"/>
      <c r="AA4" s="97"/>
      <c r="AB4" s="97"/>
      <c r="AC4" s="98"/>
      <c r="AD4" s="97"/>
      <c r="AE4" s="97"/>
      <c r="AF4" s="97"/>
      <c r="AG4" s="9" t="s">
        <v>526</v>
      </c>
    </row>
    <row r="5" spans="1:33" s="56" customFormat="1" x14ac:dyDescent="0.25">
      <c r="A5" s="95">
        <v>45602</v>
      </c>
      <c r="B5" s="105" t="s">
        <v>116</v>
      </c>
      <c r="C5" s="171" t="s">
        <v>104</v>
      </c>
      <c r="D5" s="105" t="s">
        <v>105</v>
      </c>
      <c r="E5" s="106" t="s">
        <v>117</v>
      </c>
      <c r="F5" s="17" t="s">
        <v>527</v>
      </c>
      <c r="G5" s="44" t="s">
        <v>524</v>
      </c>
      <c r="H5" s="44"/>
      <c r="I5" s="44"/>
      <c r="J5" s="44"/>
      <c r="K5" s="54">
        <v>1</v>
      </c>
      <c r="L5" s="54">
        <v>1</v>
      </c>
      <c r="M5" s="96">
        <v>1</v>
      </c>
      <c r="N5" s="96">
        <v>1</v>
      </c>
      <c r="O5" s="96">
        <v>0</v>
      </c>
      <c r="P5" s="96">
        <v>1</v>
      </c>
      <c r="Q5" s="97" t="s">
        <v>524</v>
      </c>
      <c r="R5" s="98"/>
      <c r="S5" s="97"/>
      <c r="T5" s="97"/>
      <c r="U5" s="97"/>
      <c r="V5" s="97"/>
      <c r="W5" s="97"/>
      <c r="X5" s="97" t="s">
        <v>524</v>
      </c>
      <c r="Y5" s="97"/>
      <c r="Z5" s="97"/>
      <c r="AA5" s="97"/>
      <c r="AB5" s="97"/>
      <c r="AC5" s="98"/>
      <c r="AD5" s="97"/>
      <c r="AE5" s="97"/>
      <c r="AF5" s="97"/>
      <c r="AG5" s="170" t="s">
        <v>118</v>
      </c>
    </row>
    <row r="6" spans="1:33" s="56" customFormat="1" x14ac:dyDescent="0.25">
      <c r="A6" s="95">
        <v>45603</v>
      </c>
      <c r="B6" s="99" t="s">
        <v>142</v>
      </c>
      <c r="C6" s="100" t="s">
        <v>143</v>
      </c>
      <c r="D6" s="99" t="s">
        <v>144</v>
      </c>
      <c r="E6" s="101" t="s">
        <v>145</v>
      </c>
      <c r="F6" s="17" t="s">
        <v>528</v>
      </c>
      <c r="G6" s="44"/>
      <c r="H6" s="44" t="s">
        <v>524</v>
      </c>
      <c r="I6" s="44"/>
      <c r="J6" s="44"/>
      <c r="K6" s="54">
        <v>1</v>
      </c>
      <c r="L6" s="54">
        <v>1</v>
      </c>
      <c r="M6" s="96">
        <v>1</v>
      </c>
      <c r="N6" s="96">
        <v>1</v>
      </c>
      <c r="O6" s="96">
        <v>0</v>
      </c>
      <c r="P6" s="96">
        <v>1</v>
      </c>
      <c r="Q6" s="98" t="s">
        <v>524</v>
      </c>
      <c r="R6" s="98"/>
      <c r="S6" s="98"/>
      <c r="T6" s="98"/>
      <c r="U6" s="97"/>
      <c r="V6" s="97"/>
      <c r="W6" s="97"/>
      <c r="X6" s="98"/>
      <c r="Y6" s="97" t="s">
        <v>524</v>
      </c>
      <c r="Z6" s="97"/>
      <c r="AA6" s="97"/>
      <c r="AB6" s="97"/>
      <c r="AC6" s="97"/>
      <c r="AD6" s="97"/>
      <c r="AE6" s="97"/>
      <c r="AF6" s="97"/>
      <c r="AG6" s="9" t="s">
        <v>147</v>
      </c>
    </row>
    <row r="7" spans="1:33" s="56" customFormat="1" x14ac:dyDescent="0.25">
      <c r="A7" s="95">
        <v>45604</v>
      </c>
      <c r="B7" s="17">
        <v>51873</v>
      </c>
      <c r="C7" s="17" t="s">
        <v>157</v>
      </c>
      <c r="D7" s="17" t="s">
        <v>158</v>
      </c>
      <c r="E7" s="44" t="s">
        <v>159</v>
      </c>
      <c r="F7" s="17" t="s">
        <v>529</v>
      </c>
      <c r="G7" s="44" t="s">
        <v>524</v>
      </c>
      <c r="H7" s="44" t="s">
        <v>524</v>
      </c>
      <c r="I7" s="44"/>
      <c r="J7" s="44"/>
      <c r="K7" s="54">
        <v>1</v>
      </c>
      <c r="L7" s="54">
        <v>1</v>
      </c>
      <c r="M7" s="96">
        <v>1</v>
      </c>
      <c r="N7" s="96">
        <v>1</v>
      </c>
      <c r="O7" s="96">
        <v>0</v>
      </c>
      <c r="P7" s="96">
        <v>1</v>
      </c>
      <c r="Q7" s="97" t="s">
        <v>524</v>
      </c>
      <c r="R7" s="97"/>
      <c r="S7" s="97"/>
      <c r="T7" s="97"/>
      <c r="U7" s="97"/>
      <c r="V7" s="97"/>
      <c r="W7" s="97"/>
      <c r="X7" s="97" t="s">
        <v>524</v>
      </c>
      <c r="Y7" s="97"/>
      <c r="Z7" s="97" t="s">
        <v>524</v>
      </c>
      <c r="AA7" s="97"/>
      <c r="AB7" s="97"/>
      <c r="AC7" s="97"/>
      <c r="AD7" s="97"/>
      <c r="AE7" s="97"/>
      <c r="AF7" s="97"/>
      <c r="AG7" s="9" t="s">
        <v>160</v>
      </c>
    </row>
    <row r="8" spans="1:33" s="56" customFormat="1" x14ac:dyDescent="0.25">
      <c r="A8" s="95">
        <v>45614</v>
      </c>
      <c r="B8" s="99" t="s">
        <v>263</v>
      </c>
      <c r="C8" s="100" t="s">
        <v>264</v>
      </c>
      <c r="D8" s="99" t="s">
        <v>265</v>
      </c>
      <c r="E8" s="101" t="s">
        <v>266</v>
      </c>
      <c r="F8" s="17" t="s">
        <v>529</v>
      </c>
      <c r="G8" s="44" t="s">
        <v>524</v>
      </c>
      <c r="H8" s="44"/>
      <c r="I8" s="44"/>
      <c r="J8" s="44"/>
      <c r="K8" s="54">
        <v>1</v>
      </c>
      <c r="L8" s="54">
        <v>1</v>
      </c>
      <c r="M8" s="96">
        <v>1</v>
      </c>
      <c r="N8" s="96">
        <v>1</v>
      </c>
      <c r="O8" s="96">
        <v>0</v>
      </c>
      <c r="P8" s="96">
        <v>1</v>
      </c>
      <c r="Q8" s="97" t="s">
        <v>524</v>
      </c>
      <c r="R8" s="97"/>
      <c r="S8" s="97"/>
      <c r="T8" s="97"/>
      <c r="U8" s="97"/>
      <c r="V8" s="97"/>
      <c r="W8" s="97"/>
      <c r="X8" s="97"/>
      <c r="Y8" s="97"/>
      <c r="Z8" s="97" t="s">
        <v>524</v>
      </c>
      <c r="AA8" s="97"/>
      <c r="AB8" s="97"/>
      <c r="AC8" s="97"/>
      <c r="AD8" s="97"/>
      <c r="AE8" s="97"/>
      <c r="AF8" s="97"/>
      <c r="AG8" s="9" t="s">
        <v>530</v>
      </c>
    </row>
    <row r="9" spans="1:33" s="56" customFormat="1" x14ac:dyDescent="0.25">
      <c r="A9" s="95"/>
      <c r="B9" s="99"/>
      <c r="C9" s="100"/>
      <c r="D9" s="99"/>
      <c r="E9" s="101"/>
      <c r="F9" s="17"/>
      <c r="G9" s="44"/>
      <c r="H9" s="44"/>
      <c r="I9" s="44"/>
      <c r="J9" s="44"/>
      <c r="K9" s="54"/>
      <c r="L9" s="54"/>
      <c r="M9" s="96"/>
      <c r="N9" s="96"/>
      <c r="O9" s="96"/>
      <c r="P9" s="96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"/>
    </row>
    <row r="10" spans="1:33" s="56" customFormat="1" x14ac:dyDescent="0.25">
      <c r="A10" s="95"/>
      <c r="B10" s="17"/>
      <c r="C10" s="100"/>
      <c r="D10" s="17"/>
      <c r="E10" s="44"/>
      <c r="F10" s="17"/>
      <c r="G10" s="44"/>
      <c r="H10" s="44"/>
      <c r="I10" s="44"/>
      <c r="J10" s="44"/>
      <c r="K10" s="54"/>
      <c r="L10" s="54"/>
      <c r="M10" s="96"/>
      <c r="N10" s="96"/>
      <c r="O10" s="96"/>
      <c r="P10" s="96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"/>
    </row>
    <row r="11" spans="1:33" s="56" customFormat="1" x14ac:dyDescent="0.25">
      <c r="A11" s="95"/>
      <c r="B11" s="17"/>
      <c r="C11" s="17"/>
      <c r="D11" s="17"/>
      <c r="E11" s="44"/>
      <c r="F11" s="17"/>
      <c r="G11" s="44"/>
      <c r="H11" s="44"/>
      <c r="I11" s="44"/>
      <c r="J11" s="44"/>
      <c r="K11" s="54"/>
      <c r="L11" s="54"/>
      <c r="M11" s="96"/>
      <c r="N11" s="96"/>
      <c r="O11" s="96"/>
      <c r="P11" s="96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"/>
    </row>
    <row r="12" spans="1:33" s="56" customFormat="1" x14ac:dyDescent="0.25">
      <c r="A12" s="95"/>
      <c r="B12" s="17"/>
      <c r="C12" s="17"/>
      <c r="D12" s="17"/>
      <c r="E12" s="44"/>
      <c r="F12" s="17"/>
      <c r="G12" s="44"/>
      <c r="H12" s="44"/>
      <c r="I12" s="44"/>
      <c r="J12" s="44"/>
      <c r="K12" s="54"/>
      <c r="L12" s="54"/>
      <c r="M12" s="96"/>
      <c r="N12" s="96"/>
      <c r="O12" s="96"/>
      <c r="P12" s="96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"/>
    </row>
    <row r="13" spans="1:33" s="56" customFormat="1" x14ac:dyDescent="0.25">
      <c r="A13" s="95"/>
      <c r="B13" s="17"/>
      <c r="C13" s="17"/>
      <c r="D13" s="17"/>
      <c r="E13" s="44"/>
      <c r="F13" s="17"/>
      <c r="G13" s="44"/>
      <c r="H13" s="44"/>
      <c r="I13" s="44"/>
      <c r="J13" s="44"/>
      <c r="K13" s="54"/>
      <c r="L13" s="54"/>
      <c r="M13" s="96"/>
      <c r="N13" s="96"/>
      <c r="O13" s="96"/>
      <c r="P13" s="96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"/>
    </row>
    <row r="14" spans="1:33" s="56" customFormat="1" x14ac:dyDescent="0.25">
      <c r="A14" s="95"/>
      <c r="B14" s="17"/>
      <c r="C14" s="17"/>
      <c r="D14" s="17"/>
      <c r="E14" s="44"/>
      <c r="F14" s="44"/>
      <c r="G14" s="44"/>
      <c r="H14" s="44"/>
      <c r="I14" s="44"/>
      <c r="J14" s="44"/>
      <c r="K14" s="54"/>
      <c r="L14" s="54"/>
      <c r="M14" s="96"/>
      <c r="N14" s="96"/>
      <c r="O14" s="96"/>
      <c r="P14" s="96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"/>
    </row>
    <row r="15" spans="1:33" s="56" customFormat="1" x14ac:dyDescent="0.25">
      <c r="A15" s="95"/>
      <c r="B15" s="17"/>
      <c r="C15" s="17"/>
      <c r="D15" s="17"/>
      <c r="E15" s="44"/>
      <c r="F15" s="17"/>
      <c r="G15" s="44"/>
      <c r="H15" s="44"/>
      <c r="I15" s="44"/>
      <c r="J15" s="44"/>
      <c r="K15" s="54"/>
      <c r="L15" s="54"/>
      <c r="M15" s="96"/>
      <c r="N15" s="96"/>
      <c r="O15" s="96"/>
      <c r="P15" s="96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"/>
    </row>
    <row r="16" spans="1:33" s="56" customFormat="1" x14ac:dyDescent="0.25">
      <c r="A16" s="95"/>
      <c r="B16" s="17"/>
      <c r="C16" s="17"/>
      <c r="D16" s="17"/>
      <c r="E16" s="44"/>
      <c r="F16" s="17"/>
      <c r="G16" s="44"/>
      <c r="H16" s="44"/>
      <c r="I16" s="44"/>
      <c r="J16" s="44"/>
      <c r="K16" s="54"/>
      <c r="L16" s="54"/>
      <c r="M16" s="96"/>
      <c r="N16" s="96"/>
      <c r="O16" s="96"/>
      <c r="P16" s="96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"/>
    </row>
    <row r="17" spans="1:33" s="56" customFormat="1" x14ac:dyDescent="0.2">
      <c r="A17" s="95"/>
      <c r="B17" s="17"/>
      <c r="C17" s="17"/>
      <c r="D17" s="17"/>
      <c r="E17" s="44"/>
      <c r="F17" s="17"/>
      <c r="G17" s="44"/>
      <c r="H17" s="44"/>
      <c r="I17" s="44"/>
      <c r="J17" s="44"/>
      <c r="K17" s="54"/>
      <c r="L17" s="54"/>
      <c r="M17" s="96"/>
      <c r="N17" s="96"/>
      <c r="O17" s="96"/>
      <c r="P17" s="96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02"/>
    </row>
    <row r="18" spans="1:33" s="56" customFormat="1" x14ac:dyDescent="0.2">
      <c r="A18" s="95"/>
      <c r="B18" s="17"/>
      <c r="C18" s="17"/>
      <c r="D18" s="17"/>
      <c r="E18" s="44"/>
      <c r="F18" s="17"/>
      <c r="G18" s="44"/>
      <c r="H18" s="44"/>
      <c r="I18" s="44"/>
      <c r="J18" s="44"/>
      <c r="K18" s="54"/>
      <c r="L18" s="54"/>
      <c r="M18" s="96"/>
      <c r="N18" s="96"/>
      <c r="O18" s="96"/>
      <c r="P18" s="96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102"/>
    </row>
    <row r="19" spans="1:33" s="56" customFormat="1" x14ac:dyDescent="0.2">
      <c r="A19" s="17"/>
      <c r="B19" s="17"/>
      <c r="C19" s="17"/>
      <c r="D19" s="17"/>
      <c r="E19" s="44"/>
      <c r="F19" s="17"/>
      <c r="G19" s="44"/>
      <c r="H19" s="44"/>
      <c r="I19" s="44"/>
      <c r="J19" s="44"/>
      <c r="K19" s="54"/>
      <c r="L19" s="54"/>
      <c r="M19" s="96"/>
      <c r="N19" s="96"/>
      <c r="O19" s="96"/>
      <c r="P19" s="96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102"/>
    </row>
    <row r="20" spans="1:33" s="56" customFormat="1" x14ac:dyDescent="0.2">
      <c r="A20" s="17"/>
      <c r="B20" s="17"/>
      <c r="C20" s="17"/>
      <c r="D20" s="17"/>
      <c r="E20" s="44"/>
      <c r="F20" s="17"/>
      <c r="G20" s="44"/>
      <c r="H20" s="44"/>
      <c r="I20" s="44"/>
      <c r="J20" s="44"/>
      <c r="K20" s="54"/>
      <c r="L20" s="54"/>
      <c r="M20" s="96"/>
      <c r="N20" s="96"/>
      <c r="O20" s="96"/>
      <c r="P20" s="96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102"/>
    </row>
    <row r="21" spans="1:33" s="56" customFormat="1" x14ac:dyDescent="0.2">
      <c r="A21" s="17"/>
      <c r="B21" s="17"/>
      <c r="C21" s="17"/>
      <c r="D21" s="17"/>
      <c r="E21" s="44"/>
      <c r="F21" s="17"/>
      <c r="G21" s="44"/>
      <c r="H21" s="44"/>
      <c r="I21" s="44"/>
      <c r="J21" s="44"/>
      <c r="K21" s="54"/>
      <c r="L21" s="54"/>
      <c r="M21" s="96"/>
      <c r="N21" s="96"/>
      <c r="O21" s="96"/>
      <c r="P21" s="96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102"/>
    </row>
    <row r="22" spans="1:33" s="56" customFormat="1" x14ac:dyDescent="0.2">
      <c r="A22" s="17"/>
      <c r="B22" s="17"/>
      <c r="C22" s="17"/>
      <c r="D22" s="17"/>
      <c r="E22" s="44"/>
      <c r="F22" s="17"/>
      <c r="G22" s="44"/>
      <c r="H22" s="44"/>
      <c r="I22" s="44"/>
      <c r="J22" s="44"/>
      <c r="K22" s="54"/>
      <c r="L22" s="54"/>
      <c r="M22" s="96"/>
      <c r="N22" s="96"/>
      <c r="O22" s="96"/>
      <c r="P22" s="96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102"/>
    </row>
    <row r="23" spans="1:33" s="56" customFormat="1" x14ac:dyDescent="0.2">
      <c r="A23" s="17"/>
      <c r="B23" s="17"/>
      <c r="C23" s="17"/>
      <c r="D23" s="17"/>
      <c r="E23" s="44"/>
      <c r="F23" s="17"/>
      <c r="G23" s="44"/>
      <c r="H23" s="44"/>
      <c r="I23" s="44"/>
      <c r="J23" s="44"/>
      <c r="K23" s="54"/>
      <c r="L23" s="54"/>
      <c r="M23" s="96"/>
      <c r="N23" s="96"/>
      <c r="O23" s="96"/>
      <c r="P23" s="96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102"/>
    </row>
    <row r="24" spans="1:33" s="56" customFormat="1" x14ac:dyDescent="0.2">
      <c r="A24" s="17"/>
      <c r="B24" s="17"/>
      <c r="C24" s="17"/>
      <c r="D24" s="17"/>
      <c r="E24" s="44"/>
      <c r="F24" s="17"/>
      <c r="G24" s="44"/>
      <c r="H24" s="44"/>
      <c r="I24" s="44"/>
      <c r="J24" s="44"/>
      <c r="K24" s="54"/>
      <c r="L24" s="54"/>
      <c r="M24" s="96"/>
      <c r="N24" s="96"/>
      <c r="O24" s="96"/>
      <c r="P24" s="96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102"/>
    </row>
    <row r="25" spans="1:33" x14ac:dyDescent="0.25">
      <c r="A25" s="17"/>
      <c r="B25" s="17"/>
      <c r="C25" s="17"/>
      <c r="D25" s="17"/>
      <c r="E25" s="44"/>
      <c r="F25" s="53"/>
      <c r="G25" s="44"/>
      <c r="H25" s="44"/>
      <c r="I25" s="44"/>
      <c r="J25" s="44"/>
      <c r="K25" s="54"/>
      <c r="L25" s="54"/>
      <c r="M25" s="44"/>
      <c r="N25" s="44"/>
      <c r="O25" s="44"/>
      <c r="P25" s="44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03"/>
    </row>
    <row r="26" spans="1:33" x14ac:dyDescent="0.25">
      <c r="A26" s="17"/>
      <c r="B26" s="17"/>
      <c r="C26" s="17"/>
      <c r="D26" s="17"/>
      <c r="E26" s="44"/>
      <c r="F26" s="53"/>
      <c r="G26" s="44"/>
      <c r="H26" s="44"/>
      <c r="I26" s="44"/>
      <c r="J26" s="44"/>
      <c r="K26" s="54"/>
      <c r="L26" s="54"/>
      <c r="M26" s="44"/>
      <c r="N26" s="44"/>
      <c r="O26" s="44"/>
      <c r="P26" s="44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03"/>
    </row>
    <row r="27" spans="1:33" x14ac:dyDescent="0.25">
      <c r="A27" s="17"/>
      <c r="B27" s="17"/>
      <c r="C27" s="17"/>
      <c r="D27" s="17"/>
      <c r="E27" s="44"/>
      <c r="F27" s="53"/>
      <c r="G27" s="44"/>
      <c r="H27" s="44"/>
      <c r="I27" s="44"/>
      <c r="J27" s="44"/>
      <c r="K27" s="54"/>
      <c r="L27" s="54"/>
      <c r="M27" s="44"/>
      <c r="N27" s="44"/>
      <c r="O27" s="44"/>
      <c r="P27" s="44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03"/>
    </row>
    <row r="28" spans="1:33" x14ac:dyDescent="0.25">
      <c r="A28" s="17"/>
      <c r="B28" s="17"/>
      <c r="C28" s="17"/>
      <c r="D28" s="17"/>
      <c r="E28" s="44"/>
      <c r="F28" s="53"/>
      <c r="G28" s="44"/>
      <c r="H28" s="44"/>
      <c r="I28" s="44"/>
      <c r="J28" s="44"/>
      <c r="K28" s="54"/>
      <c r="L28" s="54"/>
      <c r="M28" s="44"/>
      <c r="N28" s="44"/>
      <c r="O28" s="44"/>
      <c r="P28" s="44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03"/>
    </row>
    <row r="29" spans="1:33" x14ac:dyDescent="0.25">
      <c r="A29" s="17"/>
      <c r="B29" s="17"/>
      <c r="C29" s="17"/>
      <c r="D29" s="17"/>
      <c r="E29" s="44"/>
      <c r="F29" s="53"/>
      <c r="G29" s="44"/>
      <c r="H29" s="44"/>
      <c r="I29" s="44"/>
      <c r="J29" s="44"/>
      <c r="K29" s="54"/>
      <c r="L29" s="54"/>
      <c r="M29" s="44"/>
      <c r="N29" s="44"/>
      <c r="O29" s="44"/>
      <c r="P29" s="44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03"/>
    </row>
    <row r="30" spans="1:33" x14ac:dyDescent="0.25">
      <c r="A30" s="17"/>
      <c r="B30" s="17"/>
      <c r="C30" s="17"/>
      <c r="D30" s="17"/>
      <c r="E30" s="44"/>
      <c r="F30" s="53"/>
      <c r="G30" s="44"/>
      <c r="H30" s="44"/>
      <c r="I30" s="44"/>
      <c r="J30" s="44"/>
      <c r="K30" s="54"/>
      <c r="L30" s="54"/>
      <c r="M30" s="44"/>
      <c r="N30" s="44"/>
      <c r="O30" s="44"/>
      <c r="P30" s="44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1:33" x14ac:dyDescent="0.25">
      <c r="A31" s="17"/>
      <c r="B31" s="17"/>
      <c r="C31" s="17"/>
      <c r="D31" s="17"/>
      <c r="E31" s="44"/>
      <c r="F31" s="53"/>
      <c r="G31" s="44"/>
      <c r="H31" s="44"/>
      <c r="I31" s="44"/>
      <c r="J31" s="44"/>
      <c r="K31" s="54"/>
      <c r="L31" s="54"/>
      <c r="M31" s="44"/>
      <c r="N31" s="44"/>
      <c r="O31" s="44"/>
      <c r="P31" s="44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 x14ac:dyDescent="0.25">
      <c r="A32" s="17"/>
      <c r="B32" s="17"/>
      <c r="C32" s="17"/>
      <c r="D32" s="17"/>
      <c r="E32" s="44"/>
      <c r="F32" s="53"/>
      <c r="G32" s="44"/>
      <c r="H32" s="44"/>
      <c r="I32" s="44"/>
      <c r="J32" s="44"/>
      <c r="K32" s="54"/>
      <c r="L32" s="54"/>
      <c r="M32" s="44"/>
      <c r="N32" s="44"/>
      <c r="O32" s="44"/>
      <c r="P32" s="44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3" x14ac:dyDescent="0.25">
      <c r="A33" s="17"/>
      <c r="B33" s="17"/>
      <c r="C33" s="17"/>
      <c r="D33" s="17"/>
      <c r="E33" s="44"/>
      <c r="F33" s="53"/>
      <c r="G33" s="44"/>
      <c r="H33" s="44"/>
      <c r="I33" s="44"/>
      <c r="J33" s="44"/>
      <c r="K33" s="54"/>
      <c r="L33" s="54"/>
      <c r="M33" s="44"/>
      <c r="N33" s="44"/>
      <c r="O33" s="44"/>
      <c r="P33" s="44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3" x14ac:dyDescent="0.25">
      <c r="A34" s="17"/>
      <c r="B34" s="17"/>
      <c r="C34" s="17"/>
      <c r="D34" s="17"/>
      <c r="E34" s="44"/>
      <c r="F34" s="53"/>
      <c r="G34" s="44"/>
      <c r="H34" s="44"/>
      <c r="I34" s="44"/>
      <c r="J34" s="44"/>
      <c r="K34" s="54"/>
      <c r="L34" s="54"/>
      <c r="M34" s="44"/>
      <c r="N34" s="44"/>
      <c r="O34" s="44"/>
      <c r="P34" s="44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x14ac:dyDescent="0.25">
      <c r="A35" s="17"/>
      <c r="B35" s="17"/>
      <c r="C35" s="17"/>
      <c r="D35" s="17"/>
      <c r="E35" s="44"/>
      <c r="F35" s="53"/>
      <c r="G35" s="44"/>
      <c r="H35" s="44"/>
      <c r="I35" s="44"/>
      <c r="J35" s="44"/>
      <c r="K35" s="54"/>
      <c r="L35" s="54"/>
      <c r="M35" s="44"/>
      <c r="N35" s="44"/>
      <c r="O35" s="44"/>
      <c r="P35" s="44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x14ac:dyDescent="0.25">
      <c r="A36" s="17"/>
      <c r="B36" s="17"/>
      <c r="C36" s="17"/>
      <c r="D36" s="17"/>
      <c r="E36" s="44"/>
      <c r="F36" s="53"/>
      <c r="G36" s="44"/>
      <c r="H36" s="44"/>
      <c r="I36" s="44"/>
      <c r="J36" s="44"/>
      <c r="K36" s="54"/>
      <c r="L36" s="54"/>
      <c r="M36" s="44"/>
      <c r="N36" s="44"/>
      <c r="O36" s="44"/>
      <c r="P36" s="44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pans="1:33" x14ac:dyDescent="0.25">
      <c r="A37" s="17"/>
      <c r="B37" s="17"/>
      <c r="C37" s="17"/>
      <c r="D37" s="17"/>
      <c r="E37" s="44"/>
      <c r="F37" s="53"/>
      <c r="G37" s="44"/>
      <c r="H37" s="44"/>
      <c r="I37" s="44"/>
      <c r="J37" s="44"/>
      <c r="K37" s="54"/>
      <c r="L37" s="54"/>
      <c r="M37" s="44"/>
      <c r="N37" s="44"/>
      <c r="O37" s="44"/>
      <c r="P37" s="44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spans="1:33" x14ac:dyDescent="0.25">
      <c r="A38" s="17"/>
      <c r="B38" s="17"/>
      <c r="C38" s="17"/>
      <c r="D38" s="17"/>
      <c r="E38" s="44"/>
      <c r="F38" s="53"/>
      <c r="G38" s="44"/>
      <c r="H38" s="44"/>
      <c r="I38" s="44"/>
      <c r="J38" s="44"/>
      <c r="K38" s="54"/>
      <c r="L38" s="54"/>
      <c r="M38" s="44"/>
      <c r="N38" s="44"/>
      <c r="O38" s="44"/>
      <c r="P38" s="44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pans="1:33" x14ac:dyDescent="0.25">
      <c r="A39" s="17"/>
      <c r="B39" s="17"/>
      <c r="C39" s="17"/>
      <c r="D39" s="17"/>
      <c r="E39" s="44"/>
      <c r="F39" s="53"/>
      <c r="G39" s="44"/>
      <c r="H39" s="44"/>
      <c r="I39" s="44"/>
      <c r="J39" s="44"/>
      <c r="K39" s="54"/>
      <c r="L39" s="54"/>
      <c r="M39" s="44"/>
      <c r="N39" s="44"/>
      <c r="O39" s="44"/>
      <c r="P39" s="44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pans="1:33" x14ac:dyDescent="0.25">
      <c r="A40" s="17"/>
      <c r="B40" s="17"/>
      <c r="C40" s="17"/>
      <c r="D40" s="17"/>
      <c r="E40" s="44"/>
      <c r="F40" s="53"/>
      <c r="G40" s="44"/>
      <c r="H40" s="44"/>
      <c r="I40" s="44"/>
      <c r="J40" s="44"/>
      <c r="K40" s="54"/>
      <c r="L40" s="54"/>
      <c r="M40" s="44"/>
      <c r="N40" s="44"/>
      <c r="O40" s="44"/>
      <c r="P40" s="44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pans="1:33" x14ac:dyDescent="0.25">
      <c r="A41" s="17"/>
      <c r="B41" s="17"/>
      <c r="C41" s="17"/>
      <c r="D41" s="17"/>
      <c r="E41" s="44"/>
      <c r="F41" s="53"/>
      <c r="G41" s="44"/>
      <c r="H41" s="44"/>
      <c r="I41" s="44"/>
      <c r="J41" s="44"/>
      <c r="K41" s="54"/>
      <c r="L41" s="54"/>
      <c r="M41" s="44"/>
      <c r="N41" s="44"/>
      <c r="O41" s="44"/>
      <c r="P41" s="44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1:33" x14ac:dyDescent="0.25">
      <c r="A42" s="17"/>
      <c r="B42" s="17"/>
      <c r="C42" s="17"/>
      <c r="D42" s="17"/>
      <c r="E42" s="44"/>
      <c r="F42" s="53"/>
      <c r="G42" s="44"/>
      <c r="H42" s="44"/>
      <c r="I42" s="44"/>
      <c r="J42" s="44"/>
      <c r="K42" s="54"/>
      <c r="L42" s="54"/>
      <c r="M42" s="44"/>
      <c r="N42" s="44"/>
      <c r="O42" s="44"/>
      <c r="P42" s="44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spans="1:33" x14ac:dyDescent="0.25">
      <c r="A43" s="17"/>
      <c r="B43" s="17"/>
      <c r="C43" s="17"/>
      <c r="D43" s="17"/>
      <c r="E43" s="44"/>
      <c r="F43" s="53"/>
      <c r="G43" s="44"/>
      <c r="H43" s="44"/>
      <c r="I43" s="44"/>
      <c r="J43" s="44"/>
      <c r="K43" s="54"/>
      <c r="L43" s="54"/>
      <c r="M43" s="44"/>
      <c r="N43" s="44"/>
      <c r="O43" s="44"/>
      <c r="P43" s="44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spans="1:33" x14ac:dyDescent="0.25">
      <c r="A44" s="17"/>
      <c r="B44" s="17"/>
      <c r="C44" s="17"/>
      <c r="D44" s="17"/>
      <c r="E44" s="44"/>
      <c r="F44" s="53"/>
      <c r="G44" s="44"/>
      <c r="H44" s="44"/>
      <c r="I44" s="44"/>
      <c r="J44" s="44"/>
      <c r="K44" s="54"/>
      <c r="L44" s="54"/>
      <c r="M44" s="44"/>
      <c r="N44" s="44"/>
      <c r="O44" s="44"/>
      <c r="P44" s="44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spans="1:33" x14ac:dyDescent="0.25">
      <c r="A45" s="17"/>
      <c r="B45" s="17"/>
      <c r="C45" s="17"/>
      <c r="D45" s="17"/>
      <c r="E45" s="44"/>
      <c r="F45" s="53"/>
      <c r="G45" s="44"/>
      <c r="H45" s="44"/>
      <c r="I45" s="44"/>
      <c r="J45" s="44"/>
      <c r="K45" s="54"/>
      <c r="L45" s="54"/>
      <c r="M45" s="44"/>
      <c r="N45" s="44"/>
      <c r="O45" s="44"/>
      <c r="P45" s="44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spans="1:33" x14ac:dyDescent="0.25">
      <c r="A46" s="17"/>
      <c r="B46" s="17"/>
      <c r="C46" s="17"/>
      <c r="D46" s="17"/>
      <c r="E46" s="44"/>
      <c r="F46" s="53"/>
      <c r="G46" s="44"/>
      <c r="H46" s="44"/>
      <c r="I46" s="44"/>
      <c r="J46" s="44"/>
      <c r="K46" s="54"/>
      <c r="L46" s="54"/>
      <c r="M46" s="44"/>
      <c r="N46" s="44"/>
      <c r="O46" s="44"/>
      <c r="P46" s="44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spans="1:33" x14ac:dyDescent="0.25">
      <c r="A47" s="17"/>
      <c r="B47" s="17"/>
      <c r="C47" s="17"/>
      <c r="D47" s="17"/>
      <c r="E47" s="44"/>
      <c r="F47" s="44"/>
      <c r="G47" s="44"/>
      <c r="H47" s="44"/>
      <c r="I47" s="44"/>
      <c r="J47" s="44"/>
      <c r="K47" s="54"/>
      <c r="L47" s="54"/>
      <c r="M47" s="44"/>
      <c r="N47" s="44"/>
      <c r="O47" s="44"/>
      <c r="P47" s="44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spans="1:33" x14ac:dyDescent="0.25">
      <c r="A48" s="17"/>
      <c r="B48" s="17"/>
      <c r="C48" s="17"/>
      <c r="D48" s="17"/>
      <c r="E48" s="44"/>
      <c r="F48" s="44"/>
      <c r="G48" s="44"/>
      <c r="H48" s="44"/>
      <c r="I48" s="44"/>
      <c r="J48" s="44"/>
      <c r="K48" s="54"/>
      <c r="L48" s="54"/>
      <c r="M48" s="44"/>
      <c r="N48" s="44"/>
      <c r="O48" s="44"/>
      <c r="P48" s="44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spans="1:33" x14ac:dyDescent="0.25">
      <c r="A49" s="17"/>
      <c r="B49" s="17"/>
      <c r="C49" s="17"/>
      <c r="D49" s="17"/>
      <c r="E49" s="44"/>
      <c r="F49" s="44"/>
      <c r="G49" s="44"/>
      <c r="H49" s="44"/>
      <c r="I49" s="44"/>
      <c r="J49" s="44"/>
      <c r="K49" s="54"/>
      <c r="L49" s="54"/>
      <c r="M49" s="44"/>
      <c r="N49" s="44"/>
      <c r="O49" s="44"/>
      <c r="P49" s="44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spans="1:33" x14ac:dyDescent="0.25">
      <c r="A50" s="17"/>
      <c r="B50" s="17"/>
      <c r="C50" s="17"/>
      <c r="D50" s="17"/>
      <c r="E50" s="44"/>
      <c r="F50" s="44"/>
      <c r="G50" s="44"/>
      <c r="H50" s="44"/>
      <c r="I50" s="44"/>
      <c r="J50" s="44"/>
      <c r="K50" s="54"/>
      <c r="L50" s="54"/>
      <c r="M50" s="44"/>
      <c r="N50" s="44"/>
      <c r="O50" s="44"/>
      <c r="P50" s="44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spans="1:33" x14ac:dyDescent="0.25">
      <c r="A51" s="17"/>
      <c r="B51" s="17"/>
      <c r="C51" s="17"/>
      <c r="D51" s="17"/>
      <c r="E51" s="44"/>
      <c r="F51" s="44"/>
      <c r="G51" s="44"/>
      <c r="H51" s="44"/>
      <c r="I51" s="44"/>
      <c r="J51" s="44"/>
      <c r="K51" s="54"/>
      <c r="L51" s="54"/>
      <c r="M51" s="44"/>
      <c r="N51" s="44"/>
      <c r="O51" s="44"/>
      <c r="P51" s="44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spans="1:33" x14ac:dyDescent="0.25">
      <c r="A52" s="17"/>
      <c r="B52" s="17"/>
      <c r="C52" s="17"/>
      <c r="D52" s="17"/>
      <c r="E52" s="44"/>
      <c r="F52" s="44"/>
      <c r="G52" s="44"/>
      <c r="H52" s="44"/>
      <c r="I52" s="44"/>
      <c r="J52" s="44"/>
      <c r="K52" s="54"/>
      <c r="L52" s="54"/>
      <c r="M52" s="44"/>
      <c r="N52" s="44"/>
      <c r="O52" s="44"/>
      <c r="P52" s="44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spans="1:33" x14ac:dyDescent="0.25">
      <c r="A53" s="17"/>
      <c r="B53" s="17"/>
      <c r="C53" s="17"/>
      <c r="D53" s="17"/>
      <c r="E53" s="44"/>
    </row>
  </sheetData>
  <sheetProtection selectLockedCells="1" selectUnlockedCells="1"/>
  <mergeCells count="2">
    <mergeCell ref="A1:B1"/>
    <mergeCell ref="C1:AG1"/>
  </mergeCells>
  <pageMargins left="0.511811024" right="0.511811024" top="0.78740157499999996" bottom="0.78740157499999996" header="0.31496062000000002" footer="0.31496062000000002"/>
  <pageSetup paperSize="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outlinePr showOutlineSymbols="0"/>
  </sheetPr>
  <dimension ref="A1:AD55"/>
  <sheetViews>
    <sheetView showGridLines="0" showRowColHeaders="0" showZeros="0" showOutlineSymbols="0" defaultGridColor="0" colorId="18" zoomScale="80" zoomScaleNormal="80" workbookViewId="0">
      <selection activeCell="G83" sqref="G83"/>
    </sheetView>
  </sheetViews>
  <sheetFormatPr defaultRowHeight="15" x14ac:dyDescent="0.25"/>
  <sheetData>
    <row r="1" spans="1:30" x14ac:dyDescent="0.25">
      <c r="A1">
        <f>Observações!C4</f>
        <v>2</v>
      </c>
      <c r="Z1" s="13"/>
      <c r="AA1" s="13"/>
      <c r="AB1" s="13"/>
      <c r="AC1" s="13"/>
      <c r="AD1" s="13"/>
    </row>
    <row r="2" spans="1:30" x14ac:dyDescent="0.25">
      <c r="Z2" s="13"/>
      <c r="AA2" s="13"/>
      <c r="AB2" s="13"/>
      <c r="AC2" s="13"/>
      <c r="AD2" s="13"/>
    </row>
    <row r="3" spans="1:30" x14ac:dyDescent="0.25">
      <c r="Z3" s="13"/>
      <c r="AA3" s="13"/>
      <c r="AB3" s="13"/>
      <c r="AC3" s="13"/>
      <c r="AD3" s="13"/>
    </row>
    <row r="4" spans="1:30" x14ac:dyDescent="0.25">
      <c r="Z4" s="13"/>
      <c r="AA4" s="13"/>
      <c r="AB4" s="13"/>
      <c r="AC4" s="13"/>
      <c r="AD4" s="13"/>
    </row>
    <row r="5" spans="1:30" x14ac:dyDescent="0.25">
      <c r="Z5" s="13"/>
      <c r="AA5" s="13"/>
      <c r="AB5" s="13"/>
      <c r="AC5" s="13"/>
      <c r="AD5" s="13"/>
    </row>
    <row r="6" spans="1:30" x14ac:dyDescent="0.25">
      <c r="Z6" s="13"/>
      <c r="AA6" s="13"/>
      <c r="AB6" s="13"/>
      <c r="AC6" s="13"/>
      <c r="AD6" s="13"/>
    </row>
    <row r="7" spans="1:30" x14ac:dyDescent="0.25">
      <c r="Z7" s="13"/>
      <c r="AA7" s="13"/>
      <c r="AB7" s="13"/>
      <c r="AC7" s="13"/>
      <c r="AD7" s="13"/>
    </row>
    <row r="8" spans="1:30" x14ac:dyDescent="0.25">
      <c r="Z8" s="13"/>
      <c r="AA8" s="13"/>
      <c r="AB8" s="13"/>
      <c r="AC8" s="13"/>
      <c r="AD8" s="13"/>
    </row>
    <row r="9" spans="1:30" x14ac:dyDescent="0.25">
      <c r="Z9" s="13"/>
      <c r="AA9" s="13"/>
      <c r="AB9" s="13"/>
      <c r="AC9" s="13"/>
      <c r="AD9" s="13"/>
    </row>
    <row r="10" spans="1:30" x14ac:dyDescent="0.25">
      <c r="Z10" s="13"/>
      <c r="AA10" s="13"/>
      <c r="AB10" s="13"/>
      <c r="AC10" s="13"/>
      <c r="AD10" s="13"/>
    </row>
    <row r="11" spans="1:30" x14ac:dyDescent="0.25">
      <c r="Z11" s="13"/>
      <c r="AA11" s="13"/>
      <c r="AB11" s="13"/>
      <c r="AC11" s="13"/>
      <c r="AD11" s="13"/>
    </row>
    <row r="12" spans="1:30" x14ac:dyDescent="0.25">
      <c r="Z12" s="13"/>
      <c r="AA12" s="13"/>
      <c r="AB12" s="13"/>
      <c r="AC12" s="13"/>
      <c r="AD12" s="13"/>
    </row>
    <row r="13" spans="1:30" x14ac:dyDescent="0.25">
      <c r="Z13" s="13"/>
      <c r="AA13" s="13"/>
      <c r="AB13" s="13"/>
      <c r="AC13" s="13"/>
      <c r="AD13" s="13"/>
    </row>
    <row r="14" spans="1:30" x14ac:dyDescent="0.25">
      <c r="Z14" s="13"/>
      <c r="AA14" s="13"/>
      <c r="AB14" s="13"/>
      <c r="AC14" s="13"/>
      <c r="AD14" s="13"/>
    </row>
    <row r="15" spans="1:30" x14ac:dyDescent="0.25">
      <c r="Z15" s="13"/>
      <c r="AA15" s="13"/>
      <c r="AB15" s="13"/>
      <c r="AC15" s="13"/>
      <c r="AD15" s="13"/>
    </row>
    <row r="16" spans="1:30" x14ac:dyDescent="0.25">
      <c r="Z16" s="13"/>
      <c r="AA16" s="13"/>
      <c r="AB16" s="13"/>
      <c r="AC16" s="13"/>
      <c r="AD16" s="13"/>
    </row>
    <row r="17" spans="26:30" x14ac:dyDescent="0.25">
      <c r="Z17" s="13"/>
      <c r="AA17" s="13"/>
      <c r="AB17" s="13"/>
      <c r="AC17" s="13"/>
      <c r="AD17" s="13"/>
    </row>
    <row r="18" spans="26:30" x14ac:dyDescent="0.25">
      <c r="Z18" s="13"/>
      <c r="AA18" s="13"/>
      <c r="AB18" s="13"/>
      <c r="AC18" s="13"/>
      <c r="AD18" s="13"/>
    </row>
    <row r="19" spans="26:30" x14ac:dyDescent="0.25">
      <c r="Z19" s="13"/>
      <c r="AA19" s="13"/>
      <c r="AB19" s="13"/>
      <c r="AC19" s="13"/>
      <c r="AD19" s="13"/>
    </row>
    <row r="20" spans="26:30" x14ac:dyDescent="0.25">
      <c r="Z20" s="13"/>
      <c r="AA20" s="13"/>
      <c r="AB20" s="13"/>
      <c r="AC20" s="13"/>
      <c r="AD20" s="13"/>
    </row>
    <row r="21" spans="26:30" x14ac:dyDescent="0.25">
      <c r="Z21" s="13"/>
      <c r="AA21" s="13"/>
      <c r="AB21" s="13"/>
      <c r="AC21" s="13"/>
      <c r="AD21" s="13"/>
    </row>
    <row r="22" spans="26:30" x14ac:dyDescent="0.25">
      <c r="Z22" s="13"/>
      <c r="AA22" s="13"/>
      <c r="AB22" s="13"/>
      <c r="AC22" s="13"/>
      <c r="AD22" s="13"/>
    </row>
    <row r="23" spans="26:30" x14ac:dyDescent="0.25">
      <c r="Z23" s="13"/>
      <c r="AA23" s="13"/>
      <c r="AB23" s="13"/>
      <c r="AC23" s="13"/>
      <c r="AD23" s="13"/>
    </row>
    <row r="24" spans="26:30" x14ac:dyDescent="0.25">
      <c r="Z24" s="13"/>
      <c r="AA24" s="13"/>
      <c r="AB24" s="13"/>
      <c r="AC24" s="13"/>
      <c r="AD24" s="13"/>
    </row>
    <row r="25" spans="26:30" x14ac:dyDescent="0.25">
      <c r="Z25" s="13"/>
      <c r="AA25" s="13"/>
      <c r="AB25" s="13"/>
      <c r="AC25" s="13"/>
      <c r="AD25" s="13"/>
    </row>
    <row r="26" spans="26:30" x14ac:dyDescent="0.25">
      <c r="Z26" s="13"/>
      <c r="AA26" s="13"/>
      <c r="AB26" s="13"/>
      <c r="AC26" s="13"/>
      <c r="AD26" s="13"/>
    </row>
    <row r="27" spans="26:30" x14ac:dyDescent="0.25">
      <c r="Z27" s="13"/>
      <c r="AA27" s="13"/>
      <c r="AB27" s="13"/>
      <c r="AC27" s="13"/>
      <c r="AD27" s="13"/>
    </row>
    <row r="28" spans="26:30" x14ac:dyDescent="0.25">
      <c r="Z28" s="13"/>
      <c r="AA28" s="13"/>
      <c r="AB28" s="13"/>
      <c r="AC28" s="13"/>
      <c r="AD28" s="13"/>
    </row>
    <row r="29" spans="26:30" x14ac:dyDescent="0.25">
      <c r="Z29" s="13"/>
      <c r="AA29" s="13"/>
      <c r="AB29" s="13"/>
      <c r="AC29" s="13"/>
      <c r="AD29" s="13"/>
    </row>
    <row r="30" spans="26:30" x14ac:dyDescent="0.25">
      <c r="Z30" s="13"/>
      <c r="AA30" s="13"/>
      <c r="AB30" s="13"/>
      <c r="AC30" s="13"/>
      <c r="AD30" s="13"/>
    </row>
    <row r="31" spans="26:30" x14ac:dyDescent="0.25">
      <c r="Z31" s="13"/>
      <c r="AA31" s="13"/>
      <c r="AB31" s="13"/>
      <c r="AC31" s="13"/>
      <c r="AD31" s="13"/>
    </row>
    <row r="32" spans="26:30" x14ac:dyDescent="0.25">
      <c r="Z32" s="13"/>
      <c r="AA32" s="13"/>
      <c r="AB32" s="13"/>
      <c r="AC32" s="13"/>
      <c r="AD32" s="13"/>
    </row>
    <row r="33" spans="1:30" x14ac:dyDescent="0.25">
      <c r="Z33" s="13"/>
      <c r="AA33" s="13"/>
      <c r="AB33" s="13"/>
      <c r="AC33" s="13"/>
      <c r="AD33" s="13"/>
    </row>
    <row r="34" spans="1:30" x14ac:dyDescent="0.25">
      <c r="Z34" s="13"/>
      <c r="AA34" s="13"/>
      <c r="AB34" s="13"/>
      <c r="AC34" s="13"/>
      <c r="AD34" s="13"/>
    </row>
    <row r="35" spans="1:30" x14ac:dyDescent="0.25">
      <c r="Z35" s="13"/>
      <c r="AA35" s="13"/>
      <c r="AB35" s="13"/>
      <c r="AC35" s="13"/>
      <c r="AD35" s="13"/>
    </row>
    <row r="36" spans="1:30" x14ac:dyDescent="0.25">
      <c r="Z36" s="13"/>
      <c r="AA36" s="13"/>
      <c r="AB36" s="13"/>
      <c r="AC36" s="13"/>
      <c r="AD36" s="13"/>
    </row>
    <row r="37" spans="1:30" x14ac:dyDescent="0.25">
      <c r="Z37" s="13"/>
      <c r="AA37" s="13"/>
      <c r="AB37" s="13"/>
      <c r="AC37" s="13"/>
      <c r="AD37" s="13"/>
    </row>
    <row r="38" spans="1:30" x14ac:dyDescent="0.25">
      <c r="Z38" s="13"/>
      <c r="AA38" s="13"/>
      <c r="AB38" s="13"/>
      <c r="AC38" s="13"/>
      <c r="AD38" s="13"/>
    </row>
    <row r="39" spans="1:30" x14ac:dyDescent="0.25">
      <c r="Z39" s="13"/>
      <c r="AA39" s="13"/>
      <c r="AB39" s="13"/>
      <c r="AC39" s="13"/>
      <c r="AD39" s="13"/>
    </row>
    <row r="40" spans="1:30" x14ac:dyDescent="0.25">
      <c r="Z40" s="13"/>
      <c r="AA40" s="13"/>
      <c r="AB40" s="13"/>
      <c r="AC40" s="13"/>
      <c r="AD40" s="13"/>
    </row>
    <row r="41" spans="1:30" x14ac:dyDescent="0.25">
      <c r="Z41" s="13"/>
      <c r="AA41" s="13"/>
      <c r="AB41" s="13"/>
      <c r="AC41" s="13"/>
      <c r="AD41" s="13"/>
    </row>
    <row r="42" spans="1:30" x14ac:dyDescent="0.25">
      <c r="Z42" s="13"/>
      <c r="AA42" s="13"/>
      <c r="AB42" s="13"/>
      <c r="AC42" s="13"/>
      <c r="AD42" s="13"/>
    </row>
    <row r="43" spans="1:30" x14ac:dyDescent="0.25">
      <c r="Z43" s="13"/>
      <c r="AA43" s="13"/>
      <c r="AB43" s="13"/>
      <c r="AC43" s="13"/>
      <c r="AD43" s="13"/>
    </row>
    <row r="44" spans="1:30" x14ac:dyDescent="0.25">
      <c r="Z44" s="13"/>
      <c r="AA44" s="13"/>
      <c r="AB44" s="13"/>
      <c r="AC44" s="13"/>
      <c r="AD44" s="13"/>
    </row>
    <row r="45" spans="1:30" x14ac:dyDescent="0.25">
      <c r="Z45" s="13"/>
      <c r="AA45" s="13"/>
      <c r="AB45" s="13"/>
      <c r="AC45" s="13"/>
      <c r="AD45" s="13"/>
    </row>
    <row r="46" spans="1:30" x14ac:dyDescent="0.25">
      <c r="Z46" s="13"/>
      <c r="AA46" s="13"/>
      <c r="AB46" s="13"/>
      <c r="AC46" s="13"/>
      <c r="AD46" s="13"/>
    </row>
    <row r="47" spans="1:30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spans="1:30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spans="1:30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spans="1:3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1:30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spans="1:30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spans="1:30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spans="1:30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spans="1:30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</sheetData>
  <sheetProtection sheet="1" objects="1" scenarios="1" selectLockedCells="1" selectUn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26"/>
  <sheetViews>
    <sheetView workbookViewId="0">
      <pane ySplit="1" topLeftCell="A2" activePane="bottomLeft" state="frozen"/>
      <selection pane="bottomLeft" activeCell="A11" sqref="A11"/>
    </sheetView>
  </sheetViews>
  <sheetFormatPr defaultRowHeight="15" x14ac:dyDescent="0.25"/>
  <cols>
    <col min="1" max="1" width="17.5703125" customWidth="1"/>
    <col min="2" max="2" width="28.7109375" customWidth="1"/>
    <col min="3" max="3" width="98.140625" customWidth="1"/>
  </cols>
  <sheetData>
    <row r="1" spans="1:10" ht="60" customHeight="1" x14ac:dyDescent="0.25">
      <c r="A1" s="211" t="s">
        <v>32</v>
      </c>
      <c r="B1" s="211"/>
      <c r="C1" s="11" t="s">
        <v>531</v>
      </c>
      <c r="D1" s="206"/>
      <c r="E1" s="206"/>
      <c r="F1" s="206"/>
      <c r="G1" s="206"/>
      <c r="H1" s="206"/>
      <c r="I1" s="206"/>
      <c r="J1" s="206"/>
    </row>
    <row r="2" spans="1:10" ht="15.75" x14ac:dyDescent="0.25">
      <c r="A2" s="10" t="s">
        <v>532</v>
      </c>
      <c r="B2" s="10" t="s">
        <v>533</v>
      </c>
      <c r="C2" s="10" t="s">
        <v>534</v>
      </c>
    </row>
    <row r="3" spans="1:10" x14ac:dyDescent="0.25">
      <c r="A3" s="9"/>
      <c r="B3" s="9"/>
      <c r="C3" s="109" t="s">
        <v>535</v>
      </c>
    </row>
    <row r="4" spans="1:10" x14ac:dyDescent="0.25">
      <c r="A4" s="9"/>
      <c r="B4" s="9"/>
      <c r="C4" s="9">
        <v>2</v>
      </c>
    </row>
    <row r="5" spans="1:10" x14ac:dyDescent="0.25">
      <c r="A5" s="9"/>
      <c r="B5" s="9"/>
      <c r="C5" s="9">
        <v>3</v>
      </c>
    </row>
    <row r="6" spans="1:10" x14ac:dyDescent="0.25">
      <c r="A6" s="9"/>
      <c r="B6" s="9"/>
      <c r="C6" s="9">
        <v>4</v>
      </c>
    </row>
    <row r="7" spans="1:10" x14ac:dyDescent="0.25">
      <c r="A7" s="9"/>
      <c r="B7" s="9"/>
      <c r="C7" s="9">
        <v>5</v>
      </c>
    </row>
    <row r="8" spans="1:10" x14ac:dyDescent="0.25">
      <c r="A8" s="9"/>
      <c r="B8" s="9"/>
      <c r="C8" s="9">
        <v>6</v>
      </c>
    </row>
    <row r="9" spans="1:10" x14ac:dyDescent="0.25">
      <c r="A9" s="9"/>
      <c r="B9" s="9"/>
      <c r="C9" s="9">
        <v>7</v>
      </c>
    </row>
    <row r="10" spans="1:10" x14ac:dyDescent="0.25">
      <c r="A10" s="9"/>
      <c r="B10" s="9"/>
      <c r="C10" s="9">
        <v>8</v>
      </c>
    </row>
    <row r="11" spans="1:10" x14ac:dyDescent="0.25">
      <c r="A11" s="9"/>
      <c r="B11" s="9"/>
      <c r="C11" s="9">
        <v>9</v>
      </c>
    </row>
    <row r="12" spans="1:10" x14ac:dyDescent="0.25">
      <c r="A12" s="9"/>
      <c r="B12" s="9"/>
      <c r="C12" s="9">
        <v>10</v>
      </c>
    </row>
    <row r="13" spans="1:10" x14ac:dyDescent="0.25">
      <c r="A13" s="9"/>
      <c r="B13" s="9"/>
      <c r="C13" s="9">
        <v>11</v>
      </c>
    </row>
    <row r="14" spans="1:10" x14ac:dyDescent="0.25">
      <c r="A14" s="9"/>
      <c r="B14" s="9"/>
      <c r="C14" s="9">
        <v>12</v>
      </c>
    </row>
    <row r="15" spans="1:10" x14ac:dyDescent="0.25">
      <c r="A15" s="9"/>
      <c r="B15" s="9"/>
      <c r="C15" s="9">
        <v>13</v>
      </c>
    </row>
    <row r="16" spans="1:10" x14ac:dyDescent="0.25">
      <c r="A16" s="9"/>
      <c r="B16" s="9"/>
      <c r="C16" s="9">
        <v>14</v>
      </c>
    </row>
    <row r="17" spans="1:3" x14ac:dyDescent="0.25">
      <c r="A17" s="9"/>
      <c r="B17" s="9"/>
      <c r="C17" s="9">
        <v>15</v>
      </c>
    </row>
    <row r="18" spans="1:3" x14ac:dyDescent="0.25">
      <c r="A18" s="9"/>
      <c r="B18" s="9"/>
      <c r="C18" s="9"/>
    </row>
    <row r="19" spans="1:3" x14ac:dyDescent="0.25">
      <c r="A19" s="9"/>
      <c r="B19" s="9"/>
      <c r="C19" s="9"/>
    </row>
    <row r="20" spans="1:3" x14ac:dyDescent="0.25">
      <c r="A20" s="9"/>
      <c r="B20" s="9"/>
      <c r="C20" s="9"/>
    </row>
    <row r="21" spans="1:3" x14ac:dyDescent="0.25">
      <c r="A21" s="9"/>
      <c r="B21" s="9"/>
      <c r="C21" s="9"/>
    </row>
    <row r="22" spans="1:3" x14ac:dyDescent="0.25">
      <c r="A22" s="9"/>
      <c r="B22" s="9"/>
      <c r="C22" s="9"/>
    </row>
    <row r="23" spans="1:3" x14ac:dyDescent="0.25">
      <c r="A23" s="9"/>
      <c r="B23" s="9"/>
      <c r="C23" s="9"/>
    </row>
    <row r="24" spans="1:3" x14ac:dyDescent="0.25">
      <c r="A24" s="9"/>
      <c r="B24" s="9"/>
      <c r="C24" s="9"/>
    </row>
    <row r="25" spans="1:3" x14ac:dyDescent="0.25">
      <c r="A25" s="9"/>
      <c r="B25" s="9"/>
      <c r="C25" s="9"/>
    </row>
    <row r="26" spans="1:3" x14ac:dyDescent="0.25">
      <c r="A26" s="9"/>
      <c r="B26" s="9"/>
      <c r="C26" s="9"/>
    </row>
  </sheetData>
  <sheetProtection selectLockedCells="1" selectUnlockedCells="1"/>
  <mergeCells count="2">
    <mergeCell ref="A1:B1"/>
    <mergeCell ref="D1:J1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BH304"/>
  <sheetViews>
    <sheetView zoomScale="80" zoomScaleNormal="80" workbookViewId="0">
      <selection activeCell="C41" sqref="C41"/>
    </sheetView>
  </sheetViews>
  <sheetFormatPr defaultRowHeight="15" x14ac:dyDescent="0.25"/>
  <cols>
    <col min="2" max="2" width="41" bestFit="1" customWidth="1"/>
    <col min="3" max="3" width="11.42578125" customWidth="1"/>
    <col min="4" max="4" width="12.42578125" customWidth="1"/>
  </cols>
  <sheetData>
    <row r="1" spans="1:60" x14ac:dyDescent="0.25">
      <c r="A1" s="33"/>
      <c r="B1" s="41"/>
      <c r="C1" s="42"/>
      <c r="D1" s="4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</row>
    <row r="2" spans="1:60" x14ac:dyDescent="0.25">
      <c r="A2" s="33"/>
      <c r="B2" s="238" t="s">
        <v>536</v>
      </c>
      <c r="C2" s="239"/>
      <c r="D2" s="240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</row>
    <row r="3" spans="1:60" x14ac:dyDescent="0.25">
      <c r="A3" s="33"/>
      <c r="B3" s="238"/>
      <c r="C3" s="239"/>
      <c r="D3" s="240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</row>
    <row r="4" spans="1:60" ht="15.75" thickBot="1" x14ac:dyDescent="0.3">
      <c r="A4" s="33"/>
      <c r="B4" s="34"/>
      <c r="C4" s="33"/>
      <c r="D4" s="37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</row>
    <row r="5" spans="1:60" x14ac:dyDescent="0.25">
      <c r="A5" s="33"/>
      <c r="B5" s="241" t="s">
        <v>537</v>
      </c>
      <c r="C5" s="244">
        <f>Lançamentos!N158</f>
        <v>315</v>
      </c>
      <c r="D5" s="245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</row>
    <row r="6" spans="1:60" x14ac:dyDescent="0.25">
      <c r="A6" s="33"/>
      <c r="B6" s="242"/>
      <c r="C6" s="246"/>
      <c r="D6" s="247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</row>
    <row r="7" spans="1:60" x14ac:dyDescent="0.25">
      <c r="A7" s="33"/>
      <c r="B7" s="242"/>
      <c r="C7" s="246"/>
      <c r="D7" s="247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</row>
    <row r="8" spans="1:60" ht="15.75" thickBot="1" x14ac:dyDescent="0.3">
      <c r="A8" s="33"/>
      <c r="B8" s="243"/>
      <c r="C8" s="248"/>
      <c r="D8" s="24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</row>
    <row r="9" spans="1:60" ht="15.75" thickBot="1" x14ac:dyDescent="0.3">
      <c r="A9" s="33"/>
      <c r="B9" s="212"/>
      <c r="C9" s="213"/>
      <c r="D9" s="21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</row>
    <row r="10" spans="1:60" x14ac:dyDescent="0.25">
      <c r="A10" s="33"/>
      <c r="B10" s="250" t="s">
        <v>538</v>
      </c>
      <c r="C10" s="251" t="s">
        <v>539</v>
      </c>
      <c r="D10" s="252"/>
      <c r="E10" s="33"/>
      <c r="F10" s="33"/>
      <c r="G10" s="33"/>
      <c r="H10" s="87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</row>
    <row r="11" spans="1:60" ht="18.75" x14ac:dyDescent="0.25">
      <c r="A11" s="33"/>
      <c r="B11" s="227"/>
      <c r="C11" s="253">
        <f>Lançamentos!O158</f>
        <v>303</v>
      </c>
      <c r="D11" s="25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</row>
    <row r="12" spans="1:60" x14ac:dyDescent="0.25">
      <c r="A12" s="33"/>
      <c r="B12" s="227" t="s">
        <v>540</v>
      </c>
      <c r="C12" s="229" t="s">
        <v>539</v>
      </c>
      <c r="D12" s="230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</row>
    <row r="13" spans="1:60" ht="19.5" thickBot="1" x14ac:dyDescent="0.3">
      <c r="A13" s="33"/>
      <c r="B13" s="228"/>
      <c r="C13" s="231">
        <f>C11/C5</f>
        <v>0.96190476190476193</v>
      </c>
      <c r="D13" s="232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</row>
    <row r="14" spans="1:60" ht="15.75" thickBot="1" x14ac:dyDescent="0.3">
      <c r="A14" s="33"/>
      <c r="B14" s="212"/>
      <c r="C14" s="213"/>
      <c r="D14" s="21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</row>
    <row r="15" spans="1:60" x14ac:dyDescent="0.25">
      <c r="A15" s="33"/>
      <c r="B15" s="233" t="s">
        <v>501</v>
      </c>
      <c r="C15" s="234" t="s">
        <v>539</v>
      </c>
      <c r="D15" s="235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</row>
    <row r="16" spans="1:60" ht="18.75" x14ac:dyDescent="0.25">
      <c r="A16" s="33"/>
      <c r="B16" s="218"/>
      <c r="C16" s="236">
        <f>Lançamentos!O158+Lançamentos!Y158</f>
        <v>311</v>
      </c>
      <c r="D16" s="237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</row>
    <row r="17" spans="1:60" x14ac:dyDescent="0.25">
      <c r="A17" s="33"/>
      <c r="B17" s="218" t="s">
        <v>540</v>
      </c>
      <c r="C17" s="220" t="s">
        <v>539</v>
      </c>
      <c r="D17" s="221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</row>
    <row r="18" spans="1:60" ht="19.5" thickBot="1" x14ac:dyDescent="0.3">
      <c r="A18" s="33"/>
      <c r="B18" s="219"/>
      <c r="C18" s="222">
        <f>'CONFIGURAÇÃO '!O26</f>
        <v>0.98730158730158735</v>
      </c>
      <c r="D18" s="22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</row>
    <row r="19" spans="1:60" ht="15.75" thickBot="1" x14ac:dyDescent="0.3">
      <c r="A19" s="33"/>
      <c r="B19" s="212"/>
      <c r="C19" s="213"/>
      <c r="D19" s="21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</row>
    <row r="20" spans="1:60" x14ac:dyDescent="0.25">
      <c r="A20" s="33"/>
      <c r="B20" s="224" t="s">
        <v>541</v>
      </c>
      <c r="C20" s="18" t="s">
        <v>539</v>
      </c>
      <c r="D20" s="19" t="s">
        <v>542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</row>
    <row r="21" spans="1:60" ht="18.75" x14ac:dyDescent="0.25">
      <c r="A21" s="33"/>
      <c r="B21" s="225"/>
      <c r="C21" s="20">
        <f>C35</f>
        <v>8</v>
      </c>
      <c r="D21" s="21">
        <f>C37</f>
        <v>0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</row>
    <row r="22" spans="1:60" x14ac:dyDescent="0.25">
      <c r="A22" s="33"/>
      <c r="B22" s="225" t="s">
        <v>540</v>
      </c>
      <c r="C22" s="22" t="s">
        <v>539</v>
      </c>
      <c r="D22" s="23" t="s">
        <v>542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</row>
    <row r="23" spans="1:60" ht="19.5" thickBot="1" x14ac:dyDescent="0.3">
      <c r="A23" s="33"/>
      <c r="B23" s="226"/>
      <c r="C23" s="24">
        <f>C33</f>
        <v>2.5396825396825397E-2</v>
      </c>
      <c r="D23" s="25">
        <f>D37</f>
        <v>0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</row>
    <row r="24" spans="1:60" ht="15.75" thickBot="1" x14ac:dyDescent="0.3">
      <c r="A24" s="33"/>
      <c r="B24" s="212"/>
      <c r="C24" s="213"/>
      <c r="D24" s="214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</row>
    <row r="25" spans="1:60" x14ac:dyDescent="0.25">
      <c r="A25" s="33"/>
      <c r="B25" s="215" t="s">
        <v>495</v>
      </c>
      <c r="C25" s="26" t="s">
        <v>539</v>
      </c>
      <c r="D25" s="27" t="s">
        <v>542</v>
      </c>
      <c r="E25" s="33"/>
      <c r="F25" s="33"/>
      <c r="G25" s="87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</row>
    <row r="26" spans="1:60" ht="18.75" x14ac:dyDescent="0.25">
      <c r="A26" s="33"/>
      <c r="B26" s="216"/>
      <c r="C26" s="28">
        <f>C41</f>
        <v>0</v>
      </c>
      <c r="D26" s="29">
        <f>C43</f>
        <v>1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</row>
    <row r="27" spans="1:60" x14ac:dyDescent="0.25">
      <c r="A27" s="33"/>
      <c r="B27" s="216" t="s">
        <v>540</v>
      </c>
      <c r="C27" s="30" t="s">
        <v>539</v>
      </c>
      <c r="D27" s="31" t="s">
        <v>542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</row>
    <row r="28" spans="1:60" ht="19.5" thickBot="1" x14ac:dyDescent="0.3">
      <c r="A28" s="33"/>
      <c r="B28" s="217"/>
      <c r="C28" s="68">
        <f>D41</f>
        <v>0</v>
      </c>
      <c r="D28" s="67">
        <f>D43</f>
        <v>5.2910052910052914E-4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</row>
    <row r="29" spans="1:60" x14ac:dyDescent="0.25">
      <c r="A29" s="45"/>
      <c r="B29" s="46"/>
      <c r="C29" s="46"/>
      <c r="D29" s="46"/>
      <c r="E29" s="46"/>
      <c r="F29" s="46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6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</row>
    <row r="30" spans="1:60" x14ac:dyDescent="0.25">
      <c r="A30" s="47"/>
      <c r="B30" s="13"/>
      <c r="C30" s="13"/>
      <c r="D30" s="13"/>
      <c r="E30" s="13"/>
      <c r="F30" s="1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7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</row>
    <row r="31" spans="1:60" x14ac:dyDescent="0.25">
      <c r="A31" s="48"/>
      <c r="B31" s="61" t="s">
        <v>543</v>
      </c>
      <c r="E31" s="49"/>
      <c r="F31" s="1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7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</row>
    <row r="32" spans="1:60" x14ac:dyDescent="0.25">
      <c r="A32" s="48"/>
      <c r="B32" s="62"/>
      <c r="E32" s="49"/>
      <c r="F32" s="1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7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</row>
    <row r="33" spans="1:60" x14ac:dyDescent="0.25">
      <c r="A33" s="48"/>
      <c r="B33" t="s">
        <v>499</v>
      </c>
      <c r="C33" s="61">
        <f>'CONFIGURAÇÃO '!O25</f>
        <v>2.5396825396825397E-2</v>
      </c>
      <c r="E33" s="49"/>
      <c r="F33" s="1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7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</row>
    <row r="34" spans="1:60" x14ac:dyDescent="0.25">
      <c r="A34" s="48"/>
      <c r="D34" t="s">
        <v>539</v>
      </c>
      <c r="E34" s="49"/>
      <c r="F34" s="13">
        <f>Lançamentos!AA158</f>
        <v>0</v>
      </c>
      <c r="G34" s="33" t="s">
        <v>544</v>
      </c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7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</row>
    <row r="35" spans="1:60" x14ac:dyDescent="0.25">
      <c r="A35" s="48"/>
      <c r="C35">
        <f>Lançamentos!Y158</f>
        <v>8</v>
      </c>
      <c r="D35" s="65">
        <f>C33</f>
        <v>2.5396825396825397E-2</v>
      </c>
      <c r="E35" s="49"/>
      <c r="F35" s="13">
        <f>Lançamentos!Z158</f>
        <v>1</v>
      </c>
      <c r="G35" s="33" t="s">
        <v>545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7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</row>
    <row r="36" spans="1:60" x14ac:dyDescent="0.25">
      <c r="A36" s="48"/>
      <c r="D36" t="s">
        <v>542</v>
      </c>
      <c r="E36" s="49"/>
      <c r="F36" s="13">
        <f>Lançamentos!Y158</f>
        <v>8</v>
      </c>
      <c r="G36" s="33" t="s">
        <v>546</v>
      </c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7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</row>
    <row r="37" spans="1:60" x14ac:dyDescent="0.25">
      <c r="A37" s="48"/>
      <c r="C37">
        <f>Lançamentos!X158</f>
        <v>0</v>
      </c>
      <c r="D37" s="66">
        <f>C33*C37</f>
        <v>0</v>
      </c>
      <c r="E37" s="49"/>
      <c r="F37" s="13">
        <f>Lançamentos!X158</f>
        <v>0</v>
      </c>
      <c r="G37" s="33" t="s">
        <v>547</v>
      </c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7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</row>
    <row r="38" spans="1:60" x14ac:dyDescent="0.25">
      <c r="A38" s="48"/>
      <c r="C38">
        <f>Lançamentos!Z158/Lançamentos!N158</f>
        <v>3.1746031746031746E-3</v>
      </c>
      <c r="E38" s="49"/>
      <c r="F38" s="1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7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</row>
    <row r="39" spans="1:60" x14ac:dyDescent="0.25">
      <c r="A39" s="48"/>
      <c r="B39" t="s">
        <v>548</v>
      </c>
      <c r="C39" s="61">
        <f>Lançamentos!AA158/Lançamentos!N158</f>
        <v>0</v>
      </c>
      <c r="E39" s="49"/>
      <c r="F39" s="1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7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</row>
    <row r="40" spans="1:60" x14ac:dyDescent="0.25">
      <c r="A40" s="48"/>
      <c r="D40" t="s">
        <v>539</v>
      </c>
      <c r="E40" s="49"/>
      <c r="F40" s="1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7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</row>
    <row r="41" spans="1:60" x14ac:dyDescent="0.25">
      <c r="A41" s="48"/>
      <c r="B41">
        <f>C38/6</f>
        <v>5.2910052910052914E-4</v>
      </c>
      <c r="C41">
        <f>Lançamentos!AA158</f>
        <v>0</v>
      </c>
      <c r="D41" s="65">
        <f>C41*B41</f>
        <v>0</v>
      </c>
      <c r="E41" s="49"/>
      <c r="F41" s="1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7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</row>
    <row r="42" spans="1:60" x14ac:dyDescent="0.25">
      <c r="A42" s="48"/>
      <c r="D42" t="s">
        <v>542</v>
      </c>
      <c r="E42" s="49"/>
      <c r="F42" s="1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7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</row>
    <row r="43" spans="1:60" x14ac:dyDescent="0.25">
      <c r="A43" s="48"/>
      <c r="C43">
        <f>Lançamentos!Z158</f>
        <v>1</v>
      </c>
      <c r="D43" s="66">
        <f>B41*C43</f>
        <v>5.2910052910052914E-4</v>
      </c>
      <c r="E43" s="49"/>
      <c r="F43" s="1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7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</row>
    <row r="44" spans="1:60" x14ac:dyDescent="0.25">
      <c r="A44" s="47"/>
      <c r="E44" s="13"/>
      <c r="F44" s="1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7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</row>
    <row r="45" spans="1:60" x14ac:dyDescent="0.25">
      <c r="A45" s="47"/>
      <c r="B45" s="13"/>
      <c r="C45" s="13"/>
      <c r="D45" s="13"/>
      <c r="E45" s="13"/>
      <c r="F45" s="1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7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</row>
    <row r="46" spans="1:60" x14ac:dyDescent="0.25">
      <c r="A46" s="47"/>
      <c r="B46" s="13"/>
      <c r="C46" s="13"/>
      <c r="D46" s="13"/>
      <c r="E46" s="13"/>
      <c r="F46" s="1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7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</row>
    <row r="47" spans="1:60" x14ac:dyDescent="0.25">
      <c r="A47" s="47"/>
      <c r="B47" s="13"/>
      <c r="C47" s="13"/>
      <c r="D47" s="13"/>
      <c r="E47" s="13"/>
      <c r="F47" s="1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7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</row>
    <row r="48" spans="1:60" x14ac:dyDescent="0.25">
      <c r="A48" s="47"/>
      <c r="B48" s="13"/>
      <c r="C48" s="13"/>
      <c r="D48" s="13"/>
      <c r="E48" s="13"/>
      <c r="F48" s="1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7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</row>
    <row r="49" spans="1:60" x14ac:dyDescent="0.25">
      <c r="A49" s="34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7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</row>
    <row r="50" spans="1:60" x14ac:dyDescent="0.25">
      <c r="A50" s="34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7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</row>
    <row r="51" spans="1:60" ht="15.75" thickBot="1" x14ac:dyDescent="0.3">
      <c r="A51" s="38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40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</row>
    <row r="52" spans="1:60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</row>
    <row r="53" spans="1:60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</row>
    <row r="54" spans="1:60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</row>
    <row r="55" spans="1:60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</row>
    <row r="56" spans="1:60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</row>
    <row r="57" spans="1:60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</row>
    <row r="58" spans="1:60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</row>
    <row r="59" spans="1:60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</row>
    <row r="60" spans="1:60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</row>
    <row r="61" spans="1:60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</row>
    <row r="62" spans="1:60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</row>
    <row r="63" spans="1:60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</row>
    <row r="64" spans="1:60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</row>
    <row r="65" spans="1:60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</row>
    <row r="66" spans="1:60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</row>
    <row r="67" spans="1:60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</row>
    <row r="68" spans="1:60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</row>
    <row r="69" spans="1:60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</row>
    <row r="70" spans="1:60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</row>
    <row r="71" spans="1:60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</row>
    <row r="72" spans="1:60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</row>
    <row r="73" spans="1:60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</row>
    <row r="74" spans="1:60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</row>
    <row r="75" spans="1:60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</row>
    <row r="76" spans="1:60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</row>
    <row r="77" spans="1:60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</row>
    <row r="78" spans="1:60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</row>
    <row r="79" spans="1:60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</row>
    <row r="80" spans="1:60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</row>
    <row r="81" spans="1:60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</row>
    <row r="82" spans="1:60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</row>
    <row r="83" spans="1:60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</row>
    <row r="84" spans="1:60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</row>
    <row r="85" spans="1:60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</row>
    <row r="86" spans="1:60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 spans="1:60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</row>
    <row r="88" spans="1:60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</row>
    <row r="89" spans="1:60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 spans="1:60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</row>
    <row r="91" spans="1:60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 spans="1:60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  <row r="93" spans="1:60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</row>
    <row r="94" spans="1:60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</row>
    <row r="95" spans="1:60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</row>
    <row r="96" spans="1:60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</row>
    <row r="97" spans="1:22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</row>
    <row r="98" spans="1:22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</row>
    <row r="99" spans="1:22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</row>
    <row r="100" spans="1:22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</row>
    <row r="101" spans="1:22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</row>
    <row r="102" spans="1:22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</row>
    <row r="103" spans="1:22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</row>
    <row r="104" spans="1:22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</row>
    <row r="105" spans="1:22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</row>
    <row r="106" spans="1:22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</row>
    <row r="107" spans="1:22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</row>
    <row r="108" spans="1:22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</row>
    <row r="109" spans="1:22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</row>
    <row r="110" spans="1:22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</row>
    <row r="111" spans="1:22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</row>
    <row r="112" spans="1:22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</row>
    <row r="113" spans="1:22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</row>
    <row r="114" spans="1:22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</row>
    <row r="115" spans="1:22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</row>
    <row r="116" spans="1:22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</row>
    <row r="117" spans="1:22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</row>
    <row r="118" spans="1:22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</row>
    <row r="119" spans="1:22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</row>
    <row r="120" spans="1:22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</row>
    <row r="121" spans="1:22" x14ac:dyDescent="0.2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</row>
    <row r="122" spans="1:22" x14ac:dyDescent="0.2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</row>
    <row r="123" spans="1:22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</row>
    <row r="124" spans="1:22" x14ac:dyDescent="0.2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</row>
    <row r="125" spans="1:22" x14ac:dyDescent="0.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</row>
    <row r="126" spans="1:22" x14ac:dyDescent="0.2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</row>
    <row r="127" spans="1:22" x14ac:dyDescent="0.2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</row>
    <row r="128" spans="1:22" x14ac:dyDescent="0.2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</row>
    <row r="129" spans="1:22" x14ac:dyDescent="0.2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</row>
    <row r="130" spans="1:22" x14ac:dyDescent="0.2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</row>
    <row r="131" spans="1:22" x14ac:dyDescent="0.2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</row>
    <row r="132" spans="1:22" x14ac:dyDescent="0.2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</row>
    <row r="133" spans="1:22" x14ac:dyDescent="0.2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</row>
    <row r="134" spans="1:22" x14ac:dyDescent="0.2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</row>
    <row r="135" spans="1:22" x14ac:dyDescent="0.2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</row>
    <row r="136" spans="1:22" x14ac:dyDescent="0.2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</row>
    <row r="137" spans="1:22" x14ac:dyDescent="0.2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</row>
    <row r="138" spans="1:22" x14ac:dyDescent="0.2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</row>
    <row r="139" spans="1:22" x14ac:dyDescent="0.2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</row>
    <row r="140" spans="1:22" x14ac:dyDescent="0.2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</row>
    <row r="141" spans="1:22" x14ac:dyDescent="0.2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</row>
    <row r="142" spans="1:22" x14ac:dyDescent="0.2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</row>
    <row r="143" spans="1:22" x14ac:dyDescent="0.2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</row>
    <row r="144" spans="1:22" x14ac:dyDescent="0.2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</row>
    <row r="145" spans="1:22" x14ac:dyDescent="0.2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</row>
    <row r="146" spans="1:22" x14ac:dyDescent="0.2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</row>
    <row r="147" spans="1:22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</row>
    <row r="148" spans="1:22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</row>
    <row r="149" spans="1:22" x14ac:dyDescent="0.2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</row>
    <row r="150" spans="1:22" x14ac:dyDescent="0.2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</row>
    <row r="151" spans="1:22" x14ac:dyDescent="0.2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</row>
    <row r="152" spans="1:22" x14ac:dyDescent="0.2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</row>
    <row r="153" spans="1:22" x14ac:dyDescent="0.2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</row>
    <row r="154" spans="1:22" x14ac:dyDescent="0.2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</row>
    <row r="155" spans="1:22" x14ac:dyDescent="0.2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</row>
    <row r="156" spans="1:22" x14ac:dyDescent="0.2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</row>
    <row r="157" spans="1:22" x14ac:dyDescent="0.2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</row>
    <row r="158" spans="1:22" x14ac:dyDescent="0.2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</row>
    <row r="159" spans="1:22" x14ac:dyDescent="0.2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</row>
    <row r="160" spans="1:22" x14ac:dyDescent="0.2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</row>
    <row r="161" spans="1:22" x14ac:dyDescent="0.2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</row>
    <row r="162" spans="1:22" x14ac:dyDescent="0.2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</row>
    <row r="163" spans="1:22" x14ac:dyDescent="0.2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</row>
    <row r="164" spans="1:22" x14ac:dyDescent="0.2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</row>
    <row r="165" spans="1:22" x14ac:dyDescent="0.2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</row>
    <row r="166" spans="1:22" x14ac:dyDescent="0.2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</row>
    <row r="167" spans="1:22" x14ac:dyDescent="0.2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</row>
    <row r="168" spans="1:22" x14ac:dyDescent="0.2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</row>
    <row r="169" spans="1:22" x14ac:dyDescent="0.2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</row>
    <row r="170" spans="1:22" x14ac:dyDescent="0.2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</row>
    <row r="171" spans="1:22" x14ac:dyDescent="0.2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</row>
    <row r="172" spans="1:22" x14ac:dyDescent="0.2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</row>
    <row r="173" spans="1:22" x14ac:dyDescent="0.2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</row>
    <row r="174" spans="1:22" x14ac:dyDescent="0.2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</row>
    <row r="175" spans="1:22" x14ac:dyDescent="0.2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</row>
    <row r="176" spans="1:22" x14ac:dyDescent="0.2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</row>
    <row r="177" spans="1:22" x14ac:dyDescent="0.2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</row>
    <row r="178" spans="1:22" x14ac:dyDescent="0.2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</row>
    <row r="179" spans="1:22" x14ac:dyDescent="0.2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</row>
    <row r="180" spans="1:22" x14ac:dyDescent="0.2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</row>
    <row r="181" spans="1:22" x14ac:dyDescent="0.2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</row>
    <row r="182" spans="1:22" x14ac:dyDescent="0.2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</row>
    <row r="183" spans="1:22" x14ac:dyDescent="0.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</row>
    <row r="184" spans="1:22" x14ac:dyDescent="0.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</row>
    <row r="185" spans="1:22" x14ac:dyDescent="0.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</row>
    <row r="186" spans="1:22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</row>
    <row r="187" spans="1:22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</row>
    <row r="188" spans="1:22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</row>
    <row r="189" spans="1:22" x14ac:dyDescent="0.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</row>
    <row r="190" spans="1:22" x14ac:dyDescent="0.2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</row>
    <row r="191" spans="1:22" x14ac:dyDescent="0.2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</row>
    <row r="192" spans="1:22" x14ac:dyDescent="0.2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</row>
    <row r="193" spans="1:22" x14ac:dyDescent="0.2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</row>
    <row r="194" spans="1:22" x14ac:dyDescent="0.2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</row>
    <row r="195" spans="1:22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</row>
    <row r="196" spans="1:22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</row>
    <row r="197" spans="1:22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</row>
    <row r="198" spans="1:22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</row>
    <row r="199" spans="1:22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</row>
    <row r="200" spans="1:22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</row>
    <row r="201" spans="1:22" x14ac:dyDescent="0.2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</row>
    <row r="202" spans="1:22" x14ac:dyDescent="0.2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</row>
    <row r="203" spans="1:22" x14ac:dyDescent="0.2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</row>
    <row r="204" spans="1:22" x14ac:dyDescent="0.2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</row>
    <row r="205" spans="1:22" x14ac:dyDescent="0.2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</row>
    <row r="206" spans="1:22" x14ac:dyDescent="0.2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</row>
    <row r="207" spans="1:22" x14ac:dyDescent="0.2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</row>
    <row r="208" spans="1:22" x14ac:dyDescent="0.2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</row>
    <row r="209" spans="1:22" x14ac:dyDescent="0.2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</row>
    <row r="210" spans="1:22" x14ac:dyDescent="0.2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</row>
    <row r="211" spans="1:22" x14ac:dyDescent="0.2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</row>
    <row r="212" spans="1:22" x14ac:dyDescent="0.2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</row>
    <row r="213" spans="1:22" x14ac:dyDescent="0.2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</row>
    <row r="214" spans="1:22" x14ac:dyDescent="0.2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</row>
    <row r="215" spans="1:22" x14ac:dyDescent="0.2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</row>
    <row r="216" spans="1:22" x14ac:dyDescent="0.2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</row>
    <row r="217" spans="1:22" x14ac:dyDescent="0.2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</row>
    <row r="218" spans="1:22" x14ac:dyDescent="0.2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</row>
    <row r="219" spans="1:22" x14ac:dyDescent="0.2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</row>
    <row r="220" spans="1:22" x14ac:dyDescent="0.2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</row>
    <row r="221" spans="1:22" x14ac:dyDescent="0.2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</row>
    <row r="222" spans="1:22" x14ac:dyDescent="0.2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</row>
    <row r="223" spans="1:22" x14ac:dyDescent="0.2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</row>
    <row r="224" spans="1:22" x14ac:dyDescent="0.2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</row>
    <row r="225" spans="1:22" x14ac:dyDescent="0.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</row>
    <row r="226" spans="1:22" x14ac:dyDescent="0.2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</row>
    <row r="227" spans="1:22" x14ac:dyDescent="0.2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</row>
    <row r="228" spans="1:22" x14ac:dyDescent="0.2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</row>
    <row r="229" spans="1:22" x14ac:dyDescent="0.2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</row>
    <row r="230" spans="1:22" x14ac:dyDescent="0.2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</row>
    <row r="231" spans="1:22" x14ac:dyDescent="0.2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</row>
    <row r="232" spans="1:22" x14ac:dyDescent="0.2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</row>
    <row r="233" spans="1:22" x14ac:dyDescent="0.25"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</row>
    <row r="234" spans="1:22" x14ac:dyDescent="0.25"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</row>
    <row r="235" spans="1:22" x14ac:dyDescent="0.25"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</row>
    <row r="236" spans="1:22" x14ac:dyDescent="0.25"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</row>
    <row r="237" spans="1:22" x14ac:dyDescent="0.25"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</row>
    <row r="238" spans="1:22" x14ac:dyDescent="0.25"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</row>
    <row r="239" spans="1:22" x14ac:dyDescent="0.25"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</row>
    <row r="240" spans="1:22" x14ac:dyDescent="0.25"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</row>
    <row r="241" spans="5:22" x14ac:dyDescent="0.25"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</row>
    <row r="242" spans="5:22" x14ac:dyDescent="0.25"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</row>
    <row r="243" spans="5:22" x14ac:dyDescent="0.25"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</row>
    <row r="244" spans="5:22" x14ac:dyDescent="0.25"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</row>
    <row r="245" spans="5:22" x14ac:dyDescent="0.25"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</row>
    <row r="246" spans="5:22" x14ac:dyDescent="0.25"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</row>
    <row r="247" spans="5:22" x14ac:dyDescent="0.25"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</row>
    <row r="248" spans="5:22" x14ac:dyDescent="0.25"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</row>
    <row r="249" spans="5:22" x14ac:dyDescent="0.25"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</row>
    <row r="250" spans="5:22" x14ac:dyDescent="0.25"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</row>
    <row r="251" spans="5:22" x14ac:dyDescent="0.25"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</row>
    <row r="252" spans="5:22" x14ac:dyDescent="0.25"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</row>
    <row r="253" spans="5:22" x14ac:dyDescent="0.25"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</row>
    <row r="254" spans="5:22" x14ac:dyDescent="0.25"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</row>
    <row r="255" spans="5:22" x14ac:dyDescent="0.25"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</row>
    <row r="256" spans="5:22" x14ac:dyDescent="0.25"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</row>
    <row r="257" spans="5:22" x14ac:dyDescent="0.25"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</row>
    <row r="258" spans="5:22" x14ac:dyDescent="0.25"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</row>
    <row r="259" spans="5:22" x14ac:dyDescent="0.25"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</row>
    <row r="260" spans="5:22" x14ac:dyDescent="0.25"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</row>
    <row r="261" spans="5:22" x14ac:dyDescent="0.25"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</row>
    <row r="262" spans="5:22" x14ac:dyDescent="0.25"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</row>
    <row r="263" spans="5:22" x14ac:dyDescent="0.25"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</row>
    <row r="264" spans="5:22" x14ac:dyDescent="0.25"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</row>
    <row r="265" spans="5:22" x14ac:dyDescent="0.25"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</row>
    <row r="266" spans="5:22" x14ac:dyDescent="0.25"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</row>
    <row r="267" spans="5:22" x14ac:dyDescent="0.25"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</row>
    <row r="268" spans="5:22" x14ac:dyDescent="0.25"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</row>
    <row r="269" spans="5:22" x14ac:dyDescent="0.25"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</row>
    <row r="270" spans="5:22" x14ac:dyDescent="0.25"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</row>
    <row r="271" spans="5:22" x14ac:dyDescent="0.25"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</row>
    <row r="272" spans="5:22" x14ac:dyDescent="0.25"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</row>
    <row r="273" spans="5:22" x14ac:dyDescent="0.25"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</row>
    <row r="274" spans="5:22" x14ac:dyDescent="0.25"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</row>
    <row r="275" spans="5:22" x14ac:dyDescent="0.25"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</row>
    <row r="276" spans="5:22" x14ac:dyDescent="0.25"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</row>
    <row r="277" spans="5:22" x14ac:dyDescent="0.25"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</row>
    <row r="278" spans="5:22" x14ac:dyDescent="0.25"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</row>
    <row r="279" spans="5:22" x14ac:dyDescent="0.25"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</row>
    <row r="280" spans="5:22" x14ac:dyDescent="0.25"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</row>
    <row r="281" spans="5:22" x14ac:dyDescent="0.25"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</row>
    <row r="282" spans="5:22" x14ac:dyDescent="0.25"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</row>
    <row r="283" spans="5:22" x14ac:dyDescent="0.25"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</row>
    <row r="284" spans="5:22" x14ac:dyDescent="0.25"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</row>
    <row r="285" spans="5:22" x14ac:dyDescent="0.25"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</row>
    <row r="286" spans="5:22" x14ac:dyDescent="0.25"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</row>
    <row r="287" spans="5:22" x14ac:dyDescent="0.25"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</row>
    <row r="288" spans="5:22" x14ac:dyDescent="0.25"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</row>
    <row r="289" spans="5:22" x14ac:dyDescent="0.25"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</row>
    <row r="290" spans="5:22" x14ac:dyDescent="0.25"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</row>
    <row r="291" spans="5:22" x14ac:dyDescent="0.25"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</row>
    <row r="292" spans="5:22" x14ac:dyDescent="0.25"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</row>
    <row r="293" spans="5:22" x14ac:dyDescent="0.25"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</row>
    <row r="294" spans="5:22" x14ac:dyDescent="0.25"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</row>
    <row r="295" spans="5:22" x14ac:dyDescent="0.25"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</row>
    <row r="296" spans="5:22" x14ac:dyDescent="0.25"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</row>
    <row r="297" spans="5:22" x14ac:dyDescent="0.25"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</row>
    <row r="298" spans="5:22" x14ac:dyDescent="0.25"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</row>
    <row r="299" spans="5:22" x14ac:dyDescent="0.25"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</row>
    <row r="300" spans="5:22" x14ac:dyDescent="0.25"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</row>
    <row r="301" spans="5:22" x14ac:dyDescent="0.25"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</row>
    <row r="302" spans="5:22" x14ac:dyDescent="0.25"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</row>
    <row r="303" spans="5:22" x14ac:dyDescent="0.25"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</row>
    <row r="304" spans="5:22" x14ac:dyDescent="0.25"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</row>
  </sheetData>
  <sheetProtection selectLockedCells="1" selectUnlockedCells="1"/>
  <mergeCells count="23">
    <mergeCell ref="B2:D3"/>
    <mergeCell ref="B5:B8"/>
    <mergeCell ref="C5:D8"/>
    <mergeCell ref="B9:D9"/>
    <mergeCell ref="B10:B11"/>
    <mergeCell ref="C10:D10"/>
    <mergeCell ref="C11:D11"/>
    <mergeCell ref="B12:B13"/>
    <mergeCell ref="C12:D12"/>
    <mergeCell ref="C13:D13"/>
    <mergeCell ref="B14:D14"/>
    <mergeCell ref="B15:B16"/>
    <mergeCell ref="C15:D15"/>
    <mergeCell ref="C16:D16"/>
    <mergeCell ref="B24:D24"/>
    <mergeCell ref="B25:B26"/>
    <mergeCell ref="B27:B28"/>
    <mergeCell ref="B17:B18"/>
    <mergeCell ref="C17:D17"/>
    <mergeCell ref="C18:D18"/>
    <mergeCell ref="B19:D19"/>
    <mergeCell ref="B20:B21"/>
    <mergeCell ref="B22:B2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6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Lançamentos</vt:lpstr>
      <vt:lpstr>CONFIGURAÇÃO </vt:lpstr>
      <vt:lpstr>PRODUTOS DE REFUGO</vt:lpstr>
      <vt:lpstr>DASH</vt:lpstr>
      <vt:lpstr>Observações</vt:lpstr>
      <vt:lpstr>Indicadores Usinagem</vt:lpstr>
      <vt:lpstr>Gráf1</vt:lpstr>
      <vt:lpstr>'PRODUTOS DE REFUGO'!Area_de_impressao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Neto N.</dc:creator>
  <cp:keywords/>
  <dc:description/>
  <cp:lastModifiedBy>Alexandre Cardoso</cp:lastModifiedBy>
  <cp:revision/>
  <dcterms:created xsi:type="dcterms:W3CDTF">2024-04-08T21:54:05Z</dcterms:created>
  <dcterms:modified xsi:type="dcterms:W3CDTF">2026-02-13T22:44:25Z</dcterms:modified>
  <cp:category/>
  <cp:contentStatus/>
</cp:coreProperties>
</file>